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zd/Documents/HdM/Promotion/Studien/Auswertung-Vorlagen/"/>
    </mc:Choice>
  </mc:AlternateContent>
  <xr:revisionPtr revIDLastSave="0" documentId="13_ncr:1_{D8BE49B0-4883-774A-8137-1D9658C27AB3}" xr6:coauthVersionLast="47" xr6:coauthVersionMax="47" xr10:uidLastSave="{00000000-0000-0000-0000-000000000000}"/>
  <bookViews>
    <workbookView xWindow="1740" yWindow="2060" windowWidth="30240" windowHeight="17160" activeTab="4" xr2:uid="{1EF560E9-56ED-B94E-9023-2AC9C959ACC1}"/>
  </bookViews>
  <sheets>
    <sheet name="Main" sheetId="1" r:id="rId1"/>
    <sheet name="SSQ Metadata" sheetId="5" r:id="rId2"/>
    <sheet name="SSQ_Raw" sheetId="2" r:id="rId3"/>
    <sheet name="SSQ_Intermediate" sheetId="3" r:id="rId4"/>
    <sheet name="SSQ_Results"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C5" i="6"/>
  <c r="E5" i="6" s="1"/>
  <c r="D5" i="6"/>
  <c r="F5" i="6"/>
  <c r="G5" i="6"/>
  <c r="H5" i="6"/>
  <c r="I5" i="6"/>
  <c r="J5" i="6"/>
  <c r="K5" i="6"/>
  <c r="L5" i="6"/>
  <c r="M5" i="6"/>
  <c r="R5" i="6" s="1"/>
  <c r="N5" i="6"/>
  <c r="O5" i="6"/>
  <c r="S5" i="6" s="1"/>
  <c r="P5" i="6"/>
  <c r="Q5" i="6"/>
  <c r="B6" i="6"/>
  <c r="D6" i="6" s="1"/>
  <c r="C6" i="6"/>
  <c r="E6" i="6"/>
  <c r="F6" i="6"/>
  <c r="G6" i="6"/>
  <c r="H6" i="6"/>
  <c r="I6" i="6"/>
  <c r="Q6" i="6" s="1"/>
  <c r="J6" i="6"/>
  <c r="K6" i="6"/>
  <c r="L6" i="6"/>
  <c r="M6" i="6"/>
  <c r="R6" i="6" s="1"/>
  <c r="N6" i="6"/>
  <c r="O6" i="6"/>
  <c r="S6" i="6" s="1"/>
  <c r="B7" i="6"/>
  <c r="N7" i="6" s="1"/>
  <c r="C7" i="6"/>
  <c r="O7" i="6" s="1"/>
  <c r="S7" i="6" s="1"/>
  <c r="D7" i="6"/>
  <c r="E7" i="6"/>
  <c r="P7" i="6" s="1"/>
  <c r="F7" i="6"/>
  <c r="G7" i="6"/>
  <c r="H7" i="6"/>
  <c r="I7" i="6"/>
  <c r="Q7" i="6" s="1"/>
  <c r="J7" i="6"/>
  <c r="K7" i="6"/>
  <c r="L7" i="6"/>
  <c r="M7" i="6"/>
  <c r="R7" i="6" s="1"/>
  <c r="B8" i="6"/>
  <c r="C8" i="6"/>
  <c r="D8" i="6"/>
  <c r="E8" i="6"/>
  <c r="P8" i="6" s="1"/>
  <c r="F8" i="6"/>
  <c r="G8" i="6"/>
  <c r="H8" i="6"/>
  <c r="I8" i="6"/>
  <c r="Q8" i="6" s="1"/>
  <c r="J8" i="6"/>
  <c r="L8" i="6" s="1"/>
  <c r="K8" i="6"/>
  <c r="M8" i="6" s="1"/>
  <c r="R8" i="6" s="1"/>
  <c r="B9" i="6"/>
  <c r="C9" i="6"/>
  <c r="D9" i="6"/>
  <c r="E9" i="6"/>
  <c r="P9" i="6" s="1"/>
  <c r="F9" i="6"/>
  <c r="G9" i="6"/>
  <c r="H9" i="6"/>
  <c r="I9" i="6"/>
  <c r="Q9" i="6" s="1"/>
  <c r="J9" i="6"/>
  <c r="K9" i="6"/>
  <c r="L9" i="6"/>
  <c r="M9" i="6"/>
  <c r="R9" i="6"/>
  <c r="B10" i="6"/>
  <c r="C10" i="6"/>
  <c r="D10" i="6"/>
  <c r="E10" i="6"/>
  <c r="F10" i="6"/>
  <c r="H10" i="6" s="1"/>
  <c r="G10" i="6"/>
  <c r="I10" i="6" s="1"/>
  <c r="Q10" i="6" s="1"/>
  <c r="J10" i="6"/>
  <c r="L10" i="6" s="1"/>
  <c r="R10" i="6" s="1"/>
  <c r="K10" i="6"/>
  <c r="M10" i="6"/>
  <c r="N10" i="6"/>
  <c r="O10" i="6"/>
  <c r="S10" i="6" s="1"/>
  <c r="P10" i="6"/>
  <c r="B11" i="6"/>
  <c r="C11" i="6"/>
  <c r="O11" i="6" s="1"/>
  <c r="S11" i="6" s="1"/>
  <c r="D11" i="6"/>
  <c r="E11" i="6"/>
  <c r="P11" i="6" s="1"/>
  <c r="F11" i="6"/>
  <c r="G11" i="6"/>
  <c r="H11" i="6"/>
  <c r="I11" i="6"/>
  <c r="J11" i="6"/>
  <c r="K11" i="6"/>
  <c r="L11" i="6"/>
  <c r="M11" i="6"/>
  <c r="R11" i="6" s="1"/>
  <c r="N11" i="6"/>
  <c r="Q11" i="6"/>
  <c r="B12" i="6"/>
  <c r="D12" i="6" s="1"/>
  <c r="C12" i="6"/>
  <c r="E12" i="6" s="1"/>
  <c r="P12" i="6" s="1"/>
  <c r="F12" i="6"/>
  <c r="H12" i="6" s="1"/>
  <c r="Q12" i="6" s="1"/>
  <c r="G12" i="6"/>
  <c r="I12" i="6"/>
  <c r="J12" i="6"/>
  <c r="K12" i="6"/>
  <c r="M12" i="6" s="1"/>
  <c r="R12" i="6" s="1"/>
  <c r="L12" i="6"/>
  <c r="N12" i="6"/>
  <c r="B13" i="6"/>
  <c r="C13" i="6"/>
  <c r="D13" i="6"/>
  <c r="E13" i="6"/>
  <c r="F13" i="6"/>
  <c r="G13" i="6"/>
  <c r="H13" i="6"/>
  <c r="I13" i="6"/>
  <c r="Q13" i="6" s="1"/>
  <c r="J13" i="6"/>
  <c r="N13" i="6" s="1"/>
  <c r="K13" i="6"/>
  <c r="O13" i="6" s="1"/>
  <c r="S13" i="6" s="1"/>
  <c r="L13" i="6"/>
  <c r="M13" i="6"/>
  <c r="R13" i="6" s="1"/>
  <c r="P13" i="6"/>
  <c r="B14" i="6"/>
  <c r="D14" i="6" s="1"/>
  <c r="C14" i="6"/>
  <c r="E14" i="6"/>
  <c r="P14" i="6" s="1"/>
  <c r="F14" i="6"/>
  <c r="G14" i="6"/>
  <c r="H14" i="6"/>
  <c r="I14" i="6"/>
  <c r="Q14" i="6" s="1"/>
  <c r="J14" i="6"/>
  <c r="K14" i="6"/>
  <c r="L14" i="6"/>
  <c r="M14" i="6"/>
  <c r="R14" i="6" s="1"/>
  <c r="N14" i="6"/>
  <c r="B15" i="6"/>
  <c r="C15" i="6"/>
  <c r="D15" i="6"/>
  <c r="E15" i="6"/>
  <c r="P15" i="6" s="1"/>
  <c r="F15" i="6"/>
  <c r="G15" i="6"/>
  <c r="H15" i="6"/>
  <c r="I15" i="6"/>
  <c r="Q15" i="6" s="1"/>
  <c r="J15" i="6"/>
  <c r="K15" i="6"/>
  <c r="L15" i="6"/>
  <c r="M15" i="6"/>
  <c r="R15" i="6" s="1"/>
  <c r="B16" i="6"/>
  <c r="N16" i="6" s="1"/>
  <c r="C16" i="6"/>
  <c r="D16" i="6"/>
  <c r="F16" i="6"/>
  <c r="G16" i="6"/>
  <c r="H16" i="6"/>
  <c r="I16" i="6"/>
  <c r="Q16" i="6" s="1"/>
  <c r="J16" i="6"/>
  <c r="L16" i="6" s="1"/>
  <c r="K16" i="6"/>
  <c r="M16" i="6" s="1"/>
  <c r="R16" i="6"/>
  <c r="B17" i="6"/>
  <c r="C17" i="6"/>
  <c r="D17" i="6"/>
  <c r="E17" i="6"/>
  <c r="P17" i="6" s="1"/>
  <c r="F17" i="6"/>
  <c r="G17" i="6"/>
  <c r="I17" i="6" s="1"/>
  <c r="H17" i="6"/>
  <c r="J17" i="6"/>
  <c r="K17" i="6"/>
  <c r="L17" i="6"/>
  <c r="M17" i="6"/>
  <c r="R17" i="6"/>
  <c r="B18" i="6"/>
  <c r="N18" i="6" s="1"/>
  <c r="C18" i="6"/>
  <c r="D18" i="6"/>
  <c r="E18" i="6"/>
  <c r="P18" i="6" s="1"/>
  <c r="F18" i="6"/>
  <c r="H18" i="6" s="1"/>
  <c r="G18" i="6"/>
  <c r="I18" i="6" s="1"/>
  <c r="Q18" i="6" s="1"/>
  <c r="J18" i="6"/>
  <c r="L18" i="6" s="1"/>
  <c r="R18" i="6" s="1"/>
  <c r="K18" i="6"/>
  <c r="M18" i="6"/>
  <c r="B19" i="6"/>
  <c r="N19" i="6" s="1"/>
  <c r="C19" i="6"/>
  <c r="O19" i="6" s="1"/>
  <c r="S19" i="6" s="1"/>
  <c r="D19" i="6"/>
  <c r="E19" i="6"/>
  <c r="P19" i="6" s="1"/>
  <c r="F19" i="6"/>
  <c r="G19" i="6"/>
  <c r="H19" i="6"/>
  <c r="I19" i="6"/>
  <c r="J19" i="6"/>
  <c r="K19" i="6"/>
  <c r="L19" i="6"/>
  <c r="M19" i="6"/>
  <c r="Q19" i="6"/>
  <c r="R19" i="6"/>
  <c r="B20" i="6"/>
  <c r="D20" i="6" s="1"/>
  <c r="C20" i="6"/>
  <c r="F20" i="6"/>
  <c r="H20" i="6" s="1"/>
  <c r="Q20" i="6" s="1"/>
  <c r="G20" i="6"/>
  <c r="I20" i="6"/>
  <c r="J20" i="6"/>
  <c r="L20" i="6" s="1"/>
  <c r="R20" i="6" s="1"/>
  <c r="K20" i="6"/>
  <c r="M20" i="6"/>
  <c r="B21" i="6"/>
  <c r="C21" i="6"/>
  <c r="D21" i="6"/>
  <c r="E21" i="6"/>
  <c r="F21" i="6"/>
  <c r="G21" i="6"/>
  <c r="H21" i="6"/>
  <c r="Q21" i="6" s="1"/>
  <c r="I21" i="6"/>
  <c r="J21" i="6"/>
  <c r="K21" i="6"/>
  <c r="L21" i="6"/>
  <c r="M21" i="6"/>
  <c r="R21" i="6" s="1"/>
  <c r="N21" i="6"/>
  <c r="O21" i="6"/>
  <c r="S21" i="6" s="1"/>
  <c r="P21" i="6"/>
  <c r="B22" i="6"/>
  <c r="D22" i="6" s="1"/>
  <c r="C22" i="6"/>
  <c r="E22" i="6"/>
  <c r="P22" i="6" s="1"/>
  <c r="F22" i="6"/>
  <c r="N22" i="6" s="1"/>
  <c r="G22" i="6"/>
  <c r="O22" i="6" s="1"/>
  <c r="S22" i="6" s="1"/>
  <c r="H22" i="6"/>
  <c r="I22" i="6"/>
  <c r="Q22" i="6" s="1"/>
  <c r="J22" i="6"/>
  <c r="K22" i="6"/>
  <c r="L22" i="6"/>
  <c r="M22" i="6"/>
  <c r="R22" i="6" s="1"/>
  <c r="B23" i="6"/>
  <c r="C23" i="6"/>
  <c r="D23" i="6"/>
  <c r="E23" i="6"/>
  <c r="P23" i="6" s="1"/>
  <c r="F23" i="6"/>
  <c r="G23" i="6"/>
  <c r="H23" i="6"/>
  <c r="I23" i="6"/>
  <c r="Q23" i="6" s="1"/>
  <c r="J23" i="6"/>
  <c r="L23" i="6" s="1"/>
  <c r="K23" i="6"/>
  <c r="M23" i="6" s="1"/>
  <c r="R23" i="6" s="1"/>
  <c r="B24" i="6"/>
  <c r="C24" i="6"/>
  <c r="D24" i="6"/>
  <c r="E24" i="6"/>
  <c r="P24" i="6" s="1"/>
  <c r="F24" i="6"/>
  <c r="G24" i="6"/>
  <c r="H24" i="6"/>
  <c r="I24" i="6"/>
  <c r="Q24" i="6" s="1"/>
  <c r="J24" i="6"/>
  <c r="L24" i="6" s="1"/>
  <c r="K24" i="6"/>
  <c r="M24" i="6" s="1"/>
  <c r="R24" i="6"/>
  <c r="B25" i="6"/>
  <c r="C25" i="6"/>
  <c r="F25" i="6"/>
  <c r="G25" i="6"/>
  <c r="H25" i="6"/>
  <c r="I25" i="6"/>
  <c r="J25" i="6"/>
  <c r="K25" i="6"/>
  <c r="L25" i="6"/>
  <c r="M25" i="6"/>
  <c r="Q25" i="6"/>
  <c r="R25" i="6"/>
  <c r="B26" i="6"/>
  <c r="C26" i="6"/>
  <c r="F26" i="6"/>
  <c r="H26" i="6" s="1"/>
  <c r="G26" i="6"/>
  <c r="I26" i="6" s="1"/>
  <c r="J26" i="6"/>
  <c r="L26" i="6" s="1"/>
  <c r="K26" i="6"/>
  <c r="M26" i="6"/>
  <c r="Q26" i="6"/>
  <c r="R26" i="6"/>
  <c r="B27" i="6"/>
  <c r="N27" i="6" s="1"/>
  <c r="C27" i="6"/>
  <c r="D27" i="6"/>
  <c r="F27" i="6"/>
  <c r="G27" i="6"/>
  <c r="H27" i="6"/>
  <c r="I27" i="6"/>
  <c r="J27" i="6"/>
  <c r="K27" i="6"/>
  <c r="L27" i="6"/>
  <c r="M27" i="6"/>
  <c r="Q27" i="6"/>
  <c r="R27" i="6"/>
  <c r="B28" i="6"/>
  <c r="C28" i="6"/>
  <c r="E28" i="6" s="1"/>
  <c r="F28" i="6"/>
  <c r="H28" i="6" s="1"/>
  <c r="G28" i="6"/>
  <c r="I28" i="6"/>
  <c r="J28" i="6"/>
  <c r="K28" i="6"/>
  <c r="L28" i="6"/>
  <c r="M28" i="6"/>
  <c r="O28" i="6"/>
  <c r="Q28" i="6"/>
  <c r="R28" i="6"/>
  <c r="B29" i="6"/>
  <c r="C29" i="6"/>
  <c r="D29" i="6"/>
  <c r="E29" i="6"/>
  <c r="F29" i="6"/>
  <c r="G29" i="6"/>
  <c r="H29" i="6"/>
  <c r="I29" i="6"/>
  <c r="J29" i="6"/>
  <c r="K29" i="6"/>
  <c r="L29" i="6"/>
  <c r="M29" i="6"/>
  <c r="R29" i="6" s="1"/>
  <c r="N29" i="6"/>
  <c r="O29" i="6"/>
  <c r="S29" i="6" s="1"/>
  <c r="P29" i="6"/>
  <c r="Q29" i="6"/>
  <c r="B30" i="6"/>
  <c r="D30" i="6" s="1"/>
  <c r="C30" i="6"/>
  <c r="E30" i="6"/>
  <c r="F30" i="6"/>
  <c r="G30" i="6"/>
  <c r="H30" i="6"/>
  <c r="I30" i="6"/>
  <c r="Q30" i="6" s="1"/>
  <c r="J30" i="6"/>
  <c r="K30" i="6"/>
  <c r="L30" i="6"/>
  <c r="M30" i="6"/>
  <c r="R30" i="6" s="1"/>
  <c r="N30" i="6"/>
  <c r="O30" i="6"/>
  <c r="S30" i="6" s="1"/>
  <c r="B31" i="6"/>
  <c r="C31" i="6"/>
  <c r="O31" i="6" s="1"/>
  <c r="D31" i="6"/>
  <c r="E31" i="6"/>
  <c r="P31" i="6" s="1"/>
  <c r="F31" i="6"/>
  <c r="G31" i="6"/>
  <c r="I31" i="6"/>
  <c r="J31" i="6"/>
  <c r="K31" i="6"/>
  <c r="L31" i="6"/>
  <c r="M31" i="6"/>
  <c r="R31" i="6" s="1"/>
  <c r="B32" i="6"/>
  <c r="C32" i="6"/>
  <c r="D32" i="6"/>
  <c r="E32" i="6"/>
  <c r="P32" i="6" s="1"/>
  <c r="F32" i="6"/>
  <c r="G32" i="6"/>
  <c r="I32" i="6" s="1"/>
  <c r="H32" i="6"/>
  <c r="J32" i="6"/>
  <c r="L32" i="6" s="1"/>
  <c r="K32" i="6"/>
  <c r="M32" i="6" s="1"/>
  <c r="R32" i="6"/>
  <c r="B33" i="6"/>
  <c r="C33" i="6"/>
  <c r="D33" i="6"/>
  <c r="E33" i="6"/>
  <c r="P33" i="6" s="1"/>
  <c r="F33" i="6"/>
  <c r="G33" i="6"/>
  <c r="H33" i="6"/>
  <c r="I33" i="6"/>
  <c r="Q33" i="6" s="1"/>
  <c r="J33" i="6"/>
  <c r="K33" i="6"/>
  <c r="L33" i="6"/>
  <c r="M33" i="6"/>
  <c r="R33" i="6"/>
  <c r="B34" i="6"/>
  <c r="C34" i="6"/>
  <c r="D34" i="6"/>
  <c r="E34" i="6"/>
  <c r="P34" i="6" s="1"/>
  <c r="F34" i="6"/>
  <c r="H34" i="6" s="1"/>
  <c r="G34" i="6"/>
  <c r="I34" i="6" s="1"/>
  <c r="Q34" i="6" s="1"/>
  <c r="J34" i="6"/>
  <c r="L34" i="6" s="1"/>
  <c r="R34" i="6" s="1"/>
  <c r="K34" i="6"/>
  <c r="M34" i="6"/>
  <c r="B35" i="6"/>
  <c r="N35" i="6" s="1"/>
  <c r="C35" i="6"/>
  <c r="O35" i="6" s="1"/>
  <c r="S35" i="6" s="1"/>
  <c r="D35" i="6"/>
  <c r="E35" i="6"/>
  <c r="P35" i="6" s="1"/>
  <c r="F35" i="6"/>
  <c r="G35" i="6"/>
  <c r="H35" i="6"/>
  <c r="Q35" i="6" s="1"/>
  <c r="I35" i="6"/>
  <c r="J35" i="6"/>
  <c r="K35" i="6"/>
  <c r="L35" i="6"/>
  <c r="M35" i="6"/>
  <c r="R35" i="6"/>
  <c r="B36" i="6"/>
  <c r="D36" i="6" s="1"/>
  <c r="C36" i="6"/>
  <c r="E36" i="6" s="1"/>
  <c r="P36" i="6" s="1"/>
  <c r="F36" i="6"/>
  <c r="H36" i="6" s="1"/>
  <c r="G36" i="6"/>
  <c r="I36" i="6"/>
  <c r="Q36" i="6" s="1"/>
  <c r="J36" i="6"/>
  <c r="L36" i="6" s="1"/>
  <c r="K36" i="6"/>
  <c r="M36" i="6" s="1"/>
  <c r="R36" i="6" s="1"/>
  <c r="B37" i="6"/>
  <c r="C37" i="6"/>
  <c r="D37" i="6"/>
  <c r="P37" i="6" s="1"/>
  <c r="E37" i="6"/>
  <c r="F37" i="6"/>
  <c r="G37" i="6"/>
  <c r="O37" i="6" s="1"/>
  <c r="S37" i="6" s="1"/>
  <c r="H37" i="6"/>
  <c r="I37" i="6"/>
  <c r="Q37" i="6" s="1"/>
  <c r="J37" i="6"/>
  <c r="K37" i="6"/>
  <c r="L37" i="6"/>
  <c r="M37" i="6"/>
  <c r="R37" i="6" s="1"/>
  <c r="N37" i="6"/>
  <c r="B38" i="6"/>
  <c r="D38" i="6" s="1"/>
  <c r="C38" i="6"/>
  <c r="E38" i="6"/>
  <c r="P38" i="6" s="1"/>
  <c r="F38" i="6"/>
  <c r="G38" i="6"/>
  <c r="O38" i="6" s="1"/>
  <c r="H38" i="6"/>
  <c r="J38" i="6"/>
  <c r="L38" i="6" s="1"/>
  <c r="R38" i="6" s="1"/>
  <c r="K38" i="6"/>
  <c r="M38" i="6"/>
  <c r="B39" i="6"/>
  <c r="C39" i="6"/>
  <c r="D39" i="6"/>
  <c r="E39" i="6"/>
  <c r="P39" i="6" s="1"/>
  <c r="F39" i="6"/>
  <c r="G39" i="6"/>
  <c r="H39" i="6"/>
  <c r="I39" i="6"/>
  <c r="Q39" i="6" s="1"/>
  <c r="J39" i="6"/>
  <c r="L39" i="6" s="1"/>
  <c r="K39" i="6"/>
  <c r="M39" i="6" s="1"/>
  <c r="R39" i="6" s="1"/>
  <c r="B40" i="6"/>
  <c r="C40" i="6"/>
  <c r="D40" i="6"/>
  <c r="E40" i="6"/>
  <c r="P40" i="6" s="1"/>
  <c r="F40" i="6"/>
  <c r="G40" i="6"/>
  <c r="H40" i="6"/>
  <c r="I40" i="6"/>
  <c r="J40" i="6"/>
  <c r="L40" i="6" s="1"/>
  <c r="K40" i="6"/>
  <c r="M40" i="6" s="1"/>
  <c r="R40" i="6" s="1"/>
  <c r="N40" i="6"/>
  <c r="Q40" i="6"/>
  <c r="B41" i="6"/>
  <c r="C41" i="6"/>
  <c r="D41" i="6"/>
  <c r="E41" i="6"/>
  <c r="F41" i="6"/>
  <c r="G41" i="6"/>
  <c r="H41" i="6"/>
  <c r="I41" i="6"/>
  <c r="Q41" i="6" s="1"/>
  <c r="J41" i="6"/>
  <c r="K41" i="6"/>
  <c r="L41" i="6"/>
  <c r="R41" i="6" s="1"/>
  <c r="M41" i="6"/>
  <c r="O41" i="6"/>
  <c r="P41" i="6"/>
  <c r="B42" i="6"/>
  <c r="C42" i="6"/>
  <c r="D42" i="6"/>
  <c r="E42" i="6"/>
  <c r="F42" i="6"/>
  <c r="H42" i="6" s="1"/>
  <c r="G42" i="6"/>
  <c r="I42" i="6" s="1"/>
  <c r="J42" i="6"/>
  <c r="L42" i="6" s="1"/>
  <c r="K42" i="6"/>
  <c r="M42" i="6"/>
  <c r="R42" i="6" s="1"/>
  <c r="N42" i="6"/>
  <c r="O42" i="6"/>
  <c r="P42" i="6"/>
  <c r="Q42" i="6"/>
  <c r="B43" i="6"/>
  <c r="C43" i="6"/>
  <c r="D43" i="6"/>
  <c r="E43" i="6"/>
  <c r="P43" i="6" s="1"/>
  <c r="F43" i="6"/>
  <c r="G43" i="6"/>
  <c r="H43" i="6"/>
  <c r="Q43" i="6" s="1"/>
  <c r="I43" i="6"/>
  <c r="J43" i="6"/>
  <c r="K43" i="6"/>
  <c r="M43" i="6" s="1"/>
  <c r="R43" i="6" s="1"/>
  <c r="L43" i="6"/>
  <c r="N43" i="6"/>
  <c r="B44" i="6"/>
  <c r="D44" i="6" s="1"/>
  <c r="C44" i="6"/>
  <c r="E44" i="6" s="1"/>
  <c r="F44" i="6"/>
  <c r="H44" i="6" s="1"/>
  <c r="G44" i="6"/>
  <c r="I44" i="6"/>
  <c r="Q44" i="6" s="1"/>
  <c r="J44" i="6"/>
  <c r="K44" i="6"/>
  <c r="L44" i="6"/>
  <c r="M44" i="6"/>
  <c r="R44" i="6" s="1"/>
  <c r="N44" i="6"/>
  <c r="O44" i="6"/>
  <c r="S44" i="6" s="1"/>
  <c r="P44" i="6"/>
  <c r="B45" i="6"/>
  <c r="C45" i="6"/>
  <c r="D45" i="6"/>
  <c r="P45" i="6" s="1"/>
  <c r="E45" i="6"/>
  <c r="F45" i="6"/>
  <c r="G45" i="6"/>
  <c r="H45" i="6"/>
  <c r="I45" i="6"/>
  <c r="Q45" i="6" s="1"/>
  <c r="J45" i="6"/>
  <c r="K45" i="6"/>
  <c r="L45" i="6"/>
  <c r="M45" i="6"/>
  <c r="R45" i="6" s="1"/>
  <c r="N45" i="6"/>
  <c r="B46" i="6"/>
  <c r="D46" i="6" s="1"/>
  <c r="C46" i="6"/>
  <c r="E46" i="6"/>
  <c r="P46" i="6" s="1"/>
  <c r="F46" i="6"/>
  <c r="G46" i="6"/>
  <c r="H46" i="6"/>
  <c r="I46" i="6"/>
  <c r="Q46" i="6" s="1"/>
  <c r="J46" i="6"/>
  <c r="K46" i="6"/>
  <c r="L46" i="6"/>
  <c r="M46" i="6"/>
  <c r="R46" i="6" s="1"/>
  <c r="N46" i="6"/>
  <c r="O46" i="6"/>
  <c r="S46" i="6" s="1"/>
  <c r="B47" i="6"/>
  <c r="C47" i="6"/>
  <c r="D47" i="6"/>
  <c r="E47" i="6"/>
  <c r="F47" i="6"/>
  <c r="G47" i="6"/>
  <c r="H47" i="6"/>
  <c r="I47" i="6"/>
  <c r="Q47" i="6" s="1"/>
  <c r="J47" i="6"/>
  <c r="K47" i="6"/>
  <c r="L47" i="6"/>
  <c r="M47" i="6"/>
  <c r="R47" i="6" s="1"/>
  <c r="P47" i="6"/>
  <c r="B48" i="6"/>
  <c r="C48" i="6"/>
  <c r="E48" i="6"/>
  <c r="P48" i="6" s="1"/>
  <c r="F48" i="6"/>
  <c r="G48" i="6"/>
  <c r="H48" i="6"/>
  <c r="I48" i="6"/>
  <c r="J48" i="6"/>
  <c r="L48" i="6" s="1"/>
  <c r="K48" i="6"/>
  <c r="M48" i="6" s="1"/>
  <c r="Q48" i="6"/>
  <c r="R48" i="6"/>
  <c r="B49" i="6"/>
  <c r="N49" i="6" s="1"/>
  <c r="C49" i="6"/>
  <c r="D49" i="6"/>
  <c r="F49" i="6"/>
  <c r="G49" i="6"/>
  <c r="H49" i="6"/>
  <c r="I49" i="6"/>
  <c r="J49" i="6"/>
  <c r="K49" i="6"/>
  <c r="L49" i="6"/>
  <c r="M49" i="6"/>
  <c r="Q49" i="6"/>
  <c r="R49" i="6"/>
  <c r="B50" i="6"/>
  <c r="C50" i="6"/>
  <c r="F50" i="6"/>
  <c r="H50" i="6" s="1"/>
  <c r="G50" i="6"/>
  <c r="I50" i="6" s="1"/>
  <c r="J50" i="6"/>
  <c r="L50" i="6" s="1"/>
  <c r="K50" i="6"/>
  <c r="M50" i="6"/>
  <c r="Q50" i="6"/>
  <c r="R50" i="6"/>
  <c r="B51" i="6"/>
  <c r="N51" i="6" s="1"/>
  <c r="C51" i="6"/>
  <c r="D51" i="6"/>
  <c r="F51" i="6"/>
  <c r="G51" i="6"/>
  <c r="H51" i="6"/>
  <c r="I51" i="6"/>
  <c r="J51" i="6"/>
  <c r="K51" i="6"/>
  <c r="L51" i="6"/>
  <c r="M51" i="6"/>
  <c r="Q51" i="6"/>
  <c r="R51" i="6"/>
  <c r="B52" i="6"/>
  <c r="C52" i="6"/>
  <c r="E52" i="6" s="1"/>
  <c r="F52" i="6"/>
  <c r="H52" i="6" s="1"/>
  <c r="G52" i="6"/>
  <c r="I52" i="6"/>
  <c r="J52" i="6"/>
  <c r="K52" i="6"/>
  <c r="L52" i="6"/>
  <c r="M52" i="6"/>
  <c r="O52" i="6"/>
  <c r="P52" i="6"/>
  <c r="Q52" i="6"/>
  <c r="R52" i="6"/>
  <c r="S52" i="6"/>
  <c r="B53" i="6"/>
  <c r="C53" i="6"/>
  <c r="D53" i="6"/>
  <c r="E53" i="6"/>
  <c r="F53" i="6"/>
  <c r="G53" i="6"/>
  <c r="H53" i="6"/>
  <c r="I53" i="6"/>
  <c r="J53" i="6"/>
  <c r="K53" i="6"/>
  <c r="L53" i="6"/>
  <c r="M53" i="6"/>
  <c r="R53" i="6" s="1"/>
  <c r="N53" i="6"/>
  <c r="O53" i="6"/>
  <c r="S53" i="6" s="1"/>
  <c r="P53" i="6"/>
  <c r="Q53" i="6"/>
  <c r="B54" i="6"/>
  <c r="C54" i="6"/>
  <c r="E54" i="6"/>
  <c r="P54" i="6" s="1"/>
  <c r="F54" i="6"/>
  <c r="G54" i="6"/>
  <c r="H54" i="6"/>
  <c r="I54" i="6"/>
  <c r="Q54" i="6" s="1"/>
  <c r="J54" i="6"/>
  <c r="K54" i="6"/>
  <c r="L54" i="6"/>
  <c r="M54" i="6"/>
  <c r="O54" i="6"/>
  <c r="S54" i="6" s="1"/>
  <c r="R54" i="6"/>
  <c r="B55" i="6"/>
  <c r="C55" i="6"/>
  <c r="O55" i="6" s="1"/>
  <c r="S55" i="6" s="1"/>
  <c r="D55" i="6"/>
  <c r="E55" i="6"/>
  <c r="P55" i="6" s="1"/>
  <c r="F55" i="6"/>
  <c r="G55" i="6"/>
  <c r="H55" i="6"/>
  <c r="I55" i="6"/>
  <c r="Q55" i="6" s="1"/>
  <c r="J55" i="6"/>
  <c r="K55" i="6"/>
  <c r="L55" i="6"/>
  <c r="M55" i="6"/>
  <c r="R55" i="6" s="1"/>
  <c r="B56" i="6"/>
  <c r="C56" i="6"/>
  <c r="D56" i="6"/>
  <c r="E56" i="6"/>
  <c r="P56" i="6" s="1"/>
  <c r="F56" i="6"/>
  <c r="H56" i="6" s="1"/>
  <c r="G56" i="6"/>
  <c r="I56" i="6" s="1"/>
  <c r="Q56" i="6" s="1"/>
  <c r="J56" i="6"/>
  <c r="L56" i="6" s="1"/>
  <c r="K56" i="6"/>
  <c r="M56" i="6" s="1"/>
  <c r="R56" i="6"/>
  <c r="B57" i="6"/>
  <c r="C57" i="6"/>
  <c r="D57" i="6"/>
  <c r="E57" i="6"/>
  <c r="P57" i="6" s="1"/>
  <c r="F57" i="6"/>
  <c r="H57" i="6" s="1"/>
  <c r="G57" i="6"/>
  <c r="I57" i="6" s="1"/>
  <c r="Q57" i="6" s="1"/>
  <c r="J57" i="6"/>
  <c r="K57" i="6"/>
  <c r="L57" i="6"/>
  <c r="M57" i="6"/>
  <c r="R57" i="6"/>
  <c r="B58" i="6"/>
  <c r="C58" i="6"/>
  <c r="D58" i="6"/>
  <c r="E58" i="6"/>
  <c r="P58" i="6" s="1"/>
  <c r="F58" i="6"/>
  <c r="H58" i="6" s="1"/>
  <c r="G58" i="6"/>
  <c r="I58" i="6" s="1"/>
  <c r="Q58" i="6" s="1"/>
  <c r="J58" i="6"/>
  <c r="L58" i="6" s="1"/>
  <c r="K58" i="6"/>
  <c r="M58" i="6"/>
  <c r="R58" i="6"/>
  <c r="B59" i="6"/>
  <c r="N59" i="6" s="1"/>
  <c r="C59" i="6"/>
  <c r="O59" i="6" s="1"/>
  <c r="S59" i="6" s="1"/>
  <c r="D59" i="6"/>
  <c r="E59" i="6"/>
  <c r="P59" i="6" s="1"/>
  <c r="F59" i="6"/>
  <c r="G59" i="6"/>
  <c r="H59" i="6"/>
  <c r="I59" i="6"/>
  <c r="J59" i="6"/>
  <c r="K59" i="6"/>
  <c r="L59" i="6"/>
  <c r="M59" i="6"/>
  <c r="Q59" i="6"/>
  <c r="R59" i="6"/>
  <c r="B60" i="6"/>
  <c r="D60" i="6" s="1"/>
  <c r="C60" i="6"/>
  <c r="F60" i="6"/>
  <c r="H60" i="6" s="1"/>
  <c r="G60" i="6"/>
  <c r="I60" i="6"/>
  <c r="Q60" i="6" s="1"/>
  <c r="J60" i="6"/>
  <c r="L60" i="6" s="1"/>
  <c r="K60" i="6"/>
  <c r="M60" i="6"/>
  <c r="R60" i="6"/>
  <c r="B61" i="6"/>
  <c r="C61" i="6"/>
  <c r="D61" i="6"/>
  <c r="E61" i="6"/>
  <c r="F61" i="6"/>
  <c r="G61" i="6"/>
  <c r="H61" i="6"/>
  <c r="J61" i="6"/>
  <c r="K61" i="6"/>
  <c r="L61" i="6"/>
  <c r="M61" i="6"/>
  <c r="R61" i="6" s="1"/>
  <c r="N61" i="6"/>
  <c r="P61" i="6"/>
  <c r="B62" i="6"/>
  <c r="D62" i="6" s="1"/>
  <c r="C62" i="6"/>
  <c r="E62" i="6"/>
  <c r="P62" i="6" s="1"/>
  <c r="F62" i="6"/>
  <c r="G62" i="6"/>
  <c r="O62" i="6" s="1"/>
  <c r="S62" i="6" s="1"/>
  <c r="H62" i="6"/>
  <c r="I62" i="6"/>
  <c r="Q62" i="6" s="1"/>
  <c r="J62" i="6"/>
  <c r="K62" i="6"/>
  <c r="L62" i="6"/>
  <c r="M62" i="6"/>
  <c r="R62" i="6"/>
  <c r="B63" i="6"/>
  <c r="C63" i="6"/>
  <c r="D63" i="6"/>
  <c r="E63" i="6"/>
  <c r="P63" i="6" s="1"/>
  <c r="F63" i="6"/>
  <c r="G63" i="6"/>
  <c r="H63" i="6"/>
  <c r="I63" i="6"/>
  <c r="Q63" i="6" s="1"/>
  <c r="J63" i="6"/>
  <c r="L63" i="6" s="1"/>
  <c r="K63" i="6"/>
  <c r="M63" i="6"/>
  <c r="R63" i="6" s="1"/>
  <c r="B64" i="6"/>
  <c r="C64" i="6"/>
  <c r="D64" i="6"/>
  <c r="E64" i="6"/>
  <c r="P64" i="6" s="1"/>
  <c r="F64" i="6"/>
  <c r="G64" i="6"/>
  <c r="H64" i="6"/>
  <c r="I64" i="6"/>
  <c r="Q64" i="6" s="1"/>
  <c r="J64" i="6"/>
  <c r="L64" i="6" s="1"/>
  <c r="K64" i="6"/>
  <c r="M64" i="6" s="1"/>
  <c r="R64" i="6" s="1"/>
  <c r="N64" i="6"/>
  <c r="B65" i="6"/>
  <c r="C65" i="6"/>
  <c r="D65" i="6"/>
  <c r="E65" i="6"/>
  <c r="P65" i="6" s="1"/>
  <c r="F65" i="6"/>
  <c r="G65" i="6"/>
  <c r="H65" i="6"/>
  <c r="I65" i="6"/>
  <c r="Q65" i="6" s="1"/>
  <c r="J65" i="6"/>
  <c r="K65" i="6"/>
  <c r="L65" i="6"/>
  <c r="M65" i="6"/>
  <c r="O65" i="6"/>
  <c r="S65" i="6" s="1"/>
  <c r="R65" i="6"/>
  <c r="B66" i="6"/>
  <c r="C66" i="6"/>
  <c r="D66" i="6"/>
  <c r="E66" i="6"/>
  <c r="F66" i="6"/>
  <c r="H66" i="6" s="1"/>
  <c r="G66" i="6"/>
  <c r="I66" i="6" s="1"/>
  <c r="Q66" i="6" s="1"/>
  <c r="J66" i="6"/>
  <c r="L66" i="6" s="1"/>
  <c r="K66" i="6"/>
  <c r="M66" i="6"/>
  <c r="R66" i="6" s="1"/>
  <c r="N66" i="6"/>
  <c r="O66" i="6"/>
  <c r="S66" i="6" s="1"/>
  <c r="P66" i="6"/>
  <c r="B67" i="6"/>
  <c r="C67" i="6"/>
  <c r="D67" i="6"/>
  <c r="E67" i="6"/>
  <c r="P67" i="6" s="1"/>
  <c r="F67" i="6"/>
  <c r="G67" i="6"/>
  <c r="H67" i="6"/>
  <c r="I67" i="6"/>
  <c r="J67" i="6"/>
  <c r="K67" i="6"/>
  <c r="L67" i="6"/>
  <c r="M67" i="6"/>
  <c r="R67" i="6" s="1"/>
  <c r="N67" i="6"/>
  <c r="Q67" i="6"/>
  <c r="B68" i="6"/>
  <c r="D68" i="6" s="1"/>
  <c r="C68" i="6"/>
  <c r="E68" i="6" s="1"/>
  <c r="P68" i="6" s="1"/>
  <c r="F68" i="6"/>
  <c r="H68" i="6" s="1"/>
  <c r="G68" i="6"/>
  <c r="I68" i="6"/>
  <c r="Q68" i="6" s="1"/>
  <c r="J68" i="6"/>
  <c r="K68" i="6"/>
  <c r="L68" i="6"/>
  <c r="M68" i="6"/>
  <c r="R68" i="6" s="1"/>
  <c r="N68" i="6"/>
  <c r="O68" i="6"/>
  <c r="S68" i="6" s="1"/>
  <c r="B69" i="6"/>
  <c r="C69" i="6"/>
  <c r="D69" i="6"/>
  <c r="E69" i="6"/>
  <c r="F69" i="6"/>
  <c r="G69" i="6"/>
  <c r="O69" i="6" s="1"/>
  <c r="S69" i="6" s="1"/>
  <c r="H69" i="6"/>
  <c r="I69" i="6"/>
  <c r="Q69" i="6" s="1"/>
  <c r="J69" i="6"/>
  <c r="N69" i="6" s="1"/>
  <c r="K69" i="6"/>
  <c r="L69" i="6"/>
  <c r="M69" i="6"/>
  <c r="R69" i="6" s="1"/>
  <c r="P69" i="6"/>
  <c r="B70" i="6"/>
  <c r="D70" i="6" s="1"/>
  <c r="C70" i="6"/>
  <c r="E70" i="6"/>
  <c r="P70" i="6" s="1"/>
  <c r="F70" i="6"/>
  <c r="G70" i="6"/>
  <c r="H70" i="6"/>
  <c r="I70" i="6"/>
  <c r="Q70" i="6" s="1"/>
  <c r="J70" i="6"/>
  <c r="L70" i="6" s="1"/>
  <c r="K70" i="6"/>
  <c r="M70" i="6" s="1"/>
  <c r="R70" i="6" s="1"/>
  <c r="B71" i="6"/>
  <c r="C71" i="6"/>
  <c r="D71" i="6"/>
  <c r="E71" i="6"/>
  <c r="F71" i="6"/>
  <c r="G71" i="6"/>
  <c r="H71" i="6"/>
  <c r="I71" i="6"/>
  <c r="Q71" i="6" s="1"/>
  <c r="J71" i="6"/>
  <c r="K71" i="6"/>
  <c r="L71" i="6"/>
  <c r="M71" i="6"/>
  <c r="R71" i="6" s="1"/>
  <c r="P71" i="6"/>
  <c r="B72" i="6"/>
  <c r="C72" i="6"/>
  <c r="D72" i="6"/>
  <c r="E72" i="6"/>
  <c r="P72" i="6" s="1"/>
  <c r="F72" i="6"/>
  <c r="G72" i="6"/>
  <c r="H72" i="6"/>
  <c r="I72" i="6"/>
  <c r="J72" i="6"/>
  <c r="L72" i="6" s="1"/>
  <c r="K72" i="6"/>
  <c r="M72" i="6" s="1"/>
  <c r="N72" i="6"/>
  <c r="O72" i="6"/>
  <c r="S72" i="6" s="1"/>
  <c r="Q72" i="6"/>
  <c r="R72" i="6"/>
  <c r="B73" i="6"/>
  <c r="C73" i="6"/>
  <c r="D73" i="6"/>
  <c r="E73" i="6"/>
  <c r="F73" i="6"/>
  <c r="G73" i="6"/>
  <c r="H73" i="6"/>
  <c r="I73" i="6"/>
  <c r="J73" i="6"/>
  <c r="K73" i="6"/>
  <c r="L73" i="6"/>
  <c r="M73" i="6"/>
  <c r="R73" i="6" s="1"/>
  <c r="O73" i="6"/>
  <c r="S73" i="6" s="1"/>
  <c r="P73" i="6"/>
  <c r="Q73" i="6"/>
  <c r="B74" i="6"/>
  <c r="C74" i="6"/>
  <c r="D74" i="6"/>
  <c r="E74" i="6"/>
  <c r="F74" i="6"/>
  <c r="H74" i="6" s="1"/>
  <c r="G74" i="6"/>
  <c r="I74" i="6" s="1"/>
  <c r="J74" i="6"/>
  <c r="L74" i="6" s="1"/>
  <c r="K74" i="6"/>
  <c r="M74" i="6"/>
  <c r="N74" i="6"/>
  <c r="O74" i="6"/>
  <c r="S74" i="6" s="1"/>
  <c r="P74" i="6"/>
  <c r="Q74" i="6"/>
  <c r="R74" i="6"/>
  <c r="B75" i="6"/>
  <c r="C75" i="6"/>
  <c r="D75" i="6"/>
  <c r="E75" i="6"/>
  <c r="F75" i="6"/>
  <c r="G75" i="6"/>
  <c r="H75" i="6"/>
  <c r="I75" i="6"/>
  <c r="Q75" i="6" s="1"/>
  <c r="J75" i="6"/>
  <c r="K75" i="6"/>
  <c r="L75" i="6"/>
  <c r="M75" i="6"/>
  <c r="R75" i="6" s="1"/>
  <c r="N75" i="6"/>
  <c r="O75" i="6"/>
  <c r="S75" i="6" s="1"/>
  <c r="P75" i="6"/>
  <c r="B76" i="6"/>
  <c r="D76" i="6" s="1"/>
  <c r="C76" i="6"/>
  <c r="E76" i="6" s="1"/>
  <c r="F76" i="6"/>
  <c r="H76" i="6" s="1"/>
  <c r="G76" i="6"/>
  <c r="I76" i="6"/>
  <c r="J76" i="6"/>
  <c r="K76" i="6"/>
  <c r="L76" i="6"/>
  <c r="M76" i="6"/>
  <c r="R76" i="6" s="1"/>
  <c r="N76" i="6"/>
  <c r="O76" i="6"/>
  <c r="S76" i="6" s="1"/>
  <c r="P76" i="6"/>
  <c r="Q76" i="6"/>
  <c r="B77" i="6"/>
  <c r="C77" i="6"/>
  <c r="D77" i="6"/>
  <c r="E77" i="6"/>
  <c r="P77" i="6" s="1"/>
  <c r="F77" i="6"/>
  <c r="G77" i="6"/>
  <c r="H77" i="6"/>
  <c r="I77" i="6"/>
  <c r="Q77" i="6" s="1"/>
  <c r="J77" i="6"/>
  <c r="K77" i="6"/>
  <c r="L77" i="6"/>
  <c r="M77" i="6"/>
  <c r="R77" i="6" s="1"/>
  <c r="N77" i="6"/>
  <c r="O77" i="6"/>
  <c r="S77" i="6" s="1"/>
  <c r="B78" i="6"/>
  <c r="D78" i="6" s="1"/>
  <c r="C78" i="6"/>
  <c r="E78" i="6"/>
  <c r="P78" i="6" s="1"/>
  <c r="F78" i="6"/>
  <c r="G78" i="6"/>
  <c r="H78" i="6"/>
  <c r="I78" i="6"/>
  <c r="Q78" i="6" s="1"/>
  <c r="J78" i="6"/>
  <c r="K78" i="6"/>
  <c r="L78" i="6"/>
  <c r="M78" i="6"/>
  <c r="R78" i="6" s="1"/>
  <c r="N78" i="6"/>
  <c r="O78" i="6"/>
  <c r="S78" i="6" s="1"/>
  <c r="B79" i="6"/>
  <c r="C79" i="6"/>
  <c r="D79" i="6"/>
  <c r="E79" i="6"/>
  <c r="F79" i="6"/>
  <c r="G79" i="6"/>
  <c r="H79" i="6"/>
  <c r="I79" i="6"/>
  <c r="J79" i="6"/>
  <c r="K79" i="6"/>
  <c r="L79" i="6"/>
  <c r="M79" i="6"/>
  <c r="R79" i="6" s="1"/>
  <c r="P79" i="6"/>
  <c r="Q79" i="6"/>
  <c r="B80" i="6"/>
  <c r="C80" i="6"/>
  <c r="D80" i="6"/>
  <c r="E80" i="6"/>
  <c r="P80" i="6" s="1"/>
  <c r="F80" i="6"/>
  <c r="G80" i="6"/>
  <c r="H80" i="6"/>
  <c r="I80" i="6"/>
  <c r="J80" i="6"/>
  <c r="L80" i="6" s="1"/>
  <c r="K80" i="6"/>
  <c r="M80" i="6" s="1"/>
  <c r="N80" i="6"/>
  <c r="O80" i="6"/>
  <c r="S80" i="6" s="1"/>
  <c r="Q80" i="6"/>
  <c r="R80" i="6"/>
  <c r="B81" i="6"/>
  <c r="C81" i="6"/>
  <c r="E81" i="6"/>
  <c r="F81" i="6"/>
  <c r="G81" i="6"/>
  <c r="H81" i="6"/>
  <c r="I81" i="6"/>
  <c r="J81" i="6"/>
  <c r="K81" i="6"/>
  <c r="L81" i="6"/>
  <c r="M81" i="6"/>
  <c r="O81" i="6"/>
  <c r="S81" i="6" s="1"/>
  <c r="P81" i="6"/>
  <c r="Q81" i="6"/>
  <c r="R81" i="6"/>
  <c r="B82" i="6"/>
  <c r="C82" i="6"/>
  <c r="D82" i="6"/>
  <c r="E82" i="6"/>
  <c r="F82" i="6"/>
  <c r="H82" i="6" s="1"/>
  <c r="G82" i="6"/>
  <c r="I82" i="6" s="1"/>
  <c r="J82" i="6"/>
  <c r="L82" i="6" s="1"/>
  <c r="K82" i="6"/>
  <c r="M82" i="6"/>
  <c r="N82" i="6"/>
  <c r="O82" i="6"/>
  <c r="P82" i="6"/>
  <c r="Q82" i="6"/>
  <c r="R82" i="6"/>
  <c r="S82" i="6"/>
  <c r="B83" i="6"/>
  <c r="D83" i="6" s="1"/>
  <c r="C83" i="6"/>
  <c r="E83" i="6"/>
  <c r="F83" i="6"/>
  <c r="G83" i="6"/>
  <c r="H83" i="6"/>
  <c r="I83" i="6"/>
  <c r="J83" i="6"/>
  <c r="K83" i="6"/>
  <c r="L83" i="6"/>
  <c r="M83" i="6"/>
  <c r="N83" i="6"/>
  <c r="O83" i="6"/>
  <c r="S83" i="6" s="1"/>
  <c r="P83" i="6"/>
  <c r="Q83" i="6"/>
  <c r="R83" i="6"/>
  <c r="B84" i="6"/>
  <c r="D84" i="6" s="1"/>
  <c r="C84" i="6"/>
  <c r="E84" i="6" s="1"/>
  <c r="F84" i="6"/>
  <c r="H84" i="6" s="1"/>
  <c r="G84" i="6"/>
  <c r="I84" i="6"/>
  <c r="J84" i="6"/>
  <c r="K84" i="6"/>
  <c r="L84" i="6"/>
  <c r="M84" i="6"/>
  <c r="N84" i="6"/>
  <c r="O84" i="6"/>
  <c r="P84" i="6"/>
  <c r="Q84" i="6"/>
  <c r="R84" i="6"/>
  <c r="S84" i="6"/>
  <c r="B85" i="6"/>
  <c r="C85" i="6"/>
  <c r="D85" i="6"/>
  <c r="E85" i="6"/>
  <c r="F85" i="6"/>
  <c r="G85" i="6"/>
  <c r="H85" i="6"/>
  <c r="I85" i="6"/>
  <c r="J85" i="6"/>
  <c r="K85" i="6"/>
  <c r="L85" i="6"/>
  <c r="M85" i="6"/>
  <c r="R85" i="6" s="1"/>
  <c r="N85" i="6"/>
  <c r="O85" i="6"/>
  <c r="S85" i="6" s="1"/>
  <c r="P85" i="6"/>
  <c r="Q85" i="6"/>
  <c r="B86" i="6"/>
  <c r="D86" i="6" s="1"/>
  <c r="C86" i="6"/>
  <c r="E86" i="6"/>
  <c r="P86" i="6" s="1"/>
  <c r="F86" i="6"/>
  <c r="G86" i="6"/>
  <c r="H86" i="6"/>
  <c r="I86" i="6"/>
  <c r="Q86" i="6" s="1"/>
  <c r="J86" i="6"/>
  <c r="K86" i="6"/>
  <c r="L86" i="6"/>
  <c r="M86" i="6"/>
  <c r="N86" i="6"/>
  <c r="O86" i="6"/>
  <c r="R86" i="6"/>
  <c r="S86" i="6"/>
  <c r="B87" i="6"/>
  <c r="C87" i="6"/>
  <c r="D87" i="6"/>
  <c r="E87" i="6"/>
  <c r="F87" i="6"/>
  <c r="G87" i="6"/>
  <c r="H87" i="6"/>
  <c r="I87" i="6"/>
  <c r="J87" i="6"/>
  <c r="K87" i="6"/>
  <c r="L87" i="6"/>
  <c r="M87" i="6"/>
  <c r="R87" i="6" s="1"/>
  <c r="P87" i="6"/>
  <c r="Q87" i="6"/>
  <c r="B88" i="6"/>
  <c r="C88" i="6"/>
  <c r="F88" i="6"/>
  <c r="G88" i="6"/>
  <c r="H88" i="6"/>
  <c r="I88" i="6"/>
  <c r="J88" i="6"/>
  <c r="L88" i="6" s="1"/>
  <c r="K88" i="6"/>
  <c r="M88" i="6" s="1"/>
  <c r="Q88" i="6"/>
  <c r="R88" i="6"/>
  <c r="B89" i="6"/>
  <c r="N89" i="6" s="1"/>
  <c r="C89" i="6"/>
  <c r="D89" i="6"/>
  <c r="F89" i="6"/>
  <c r="G89" i="6"/>
  <c r="H89" i="6"/>
  <c r="I89" i="6"/>
  <c r="J89" i="6"/>
  <c r="K89" i="6"/>
  <c r="L89" i="6"/>
  <c r="M89" i="6"/>
  <c r="Q89" i="6"/>
  <c r="R89" i="6"/>
  <c r="B90" i="6"/>
  <c r="C90" i="6"/>
  <c r="F90" i="6"/>
  <c r="H90" i="6" s="1"/>
  <c r="G90" i="6"/>
  <c r="I90" i="6" s="1"/>
  <c r="J90" i="6"/>
  <c r="L90" i="6" s="1"/>
  <c r="K90" i="6"/>
  <c r="M90" i="6"/>
  <c r="Q90" i="6"/>
  <c r="R90" i="6"/>
  <c r="B91" i="6"/>
  <c r="N91" i="6" s="1"/>
  <c r="C91" i="6"/>
  <c r="D91" i="6"/>
  <c r="F91" i="6"/>
  <c r="G91" i="6"/>
  <c r="H91" i="6"/>
  <c r="I91" i="6"/>
  <c r="J91" i="6"/>
  <c r="K91" i="6"/>
  <c r="L91" i="6"/>
  <c r="M91" i="6"/>
  <c r="Q91" i="6"/>
  <c r="R91" i="6"/>
  <c r="B92" i="6"/>
  <c r="C92" i="6"/>
  <c r="E92" i="6" s="1"/>
  <c r="F92" i="6"/>
  <c r="H92" i="6" s="1"/>
  <c r="G92" i="6"/>
  <c r="I92" i="6"/>
  <c r="J92" i="6"/>
  <c r="K92" i="6"/>
  <c r="L92" i="6"/>
  <c r="M92" i="6"/>
  <c r="O92" i="6"/>
  <c r="P92" i="6"/>
  <c r="Q92" i="6"/>
  <c r="R92" i="6"/>
  <c r="S92" i="6"/>
  <c r="B93" i="6"/>
  <c r="C93" i="6"/>
  <c r="D93" i="6"/>
  <c r="E93" i="6"/>
  <c r="F93" i="6"/>
  <c r="G93" i="6"/>
  <c r="H93" i="6"/>
  <c r="I93" i="6"/>
  <c r="J93" i="6"/>
  <c r="K93" i="6"/>
  <c r="L93" i="6"/>
  <c r="M93" i="6"/>
  <c r="R93" i="6" s="1"/>
  <c r="N93" i="6"/>
  <c r="O93" i="6"/>
  <c r="S93" i="6" s="1"/>
  <c r="P93" i="6"/>
  <c r="Q93" i="6"/>
  <c r="B94" i="6"/>
  <c r="C94" i="6"/>
  <c r="F94" i="6"/>
  <c r="G94" i="6"/>
  <c r="H94" i="6"/>
  <c r="I94" i="6"/>
  <c r="Q94" i="6" s="1"/>
  <c r="J94" i="6"/>
  <c r="K94" i="6"/>
  <c r="L94" i="6"/>
  <c r="M94" i="6"/>
  <c r="R94" i="6"/>
  <c r="B95" i="6"/>
  <c r="C95" i="6"/>
  <c r="D95" i="6"/>
  <c r="F95" i="6"/>
  <c r="G95" i="6"/>
  <c r="H95" i="6"/>
  <c r="I95" i="6"/>
  <c r="J95" i="6"/>
  <c r="K95" i="6"/>
  <c r="L95" i="6"/>
  <c r="M95" i="6"/>
  <c r="R95" i="6" s="1"/>
  <c r="Q95" i="6"/>
  <c r="B96" i="6"/>
  <c r="N96" i="6" s="1"/>
  <c r="C96" i="6"/>
  <c r="O96" i="6" s="1"/>
  <c r="S96" i="6" s="1"/>
  <c r="D96" i="6"/>
  <c r="E96" i="6"/>
  <c r="P96" i="6" s="1"/>
  <c r="F96" i="6"/>
  <c r="G96" i="6"/>
  <c r="H96" i="6"/>
  <c r="I96" i="6"/>
  <c r="J96" i="6"/>
  <c r="L96" i="6" s="1"/>
  <c r="K96" i="6"/>
  <c r="M96" i="6" s="1"/>
  <c r="Q96" i="6"/>
  <c r="R96" i="6"/>
  <c r="B97" i="6"/>
  <c r="C97" i="6"/>
  <c r="O97" i="6" s="1"/>
  <c r="D97" i="6"/>
  <c r="E97" i="6"/>
  <c r="P97" i="6" s="1"/>
  <c r="F97" i="6"/>
  <c r="H97" i="6" s="1"/>
  <c r="G97" i="6"/>
  <c r="I97" i="6"/>
  <c r="J97" i="6"/>
  <c r="K97" i="6"/>
  <c r="L97" i="6"/>
  <c r="M97" i="6"/>
  <c r="Q97" i="6"/>
  <c r="R97" i="6"/>
  <c r="S97" i="6"/>
  <c r="B98" i="6"/>
  <c r="N98" i="6" s="1"/>
  <c r="C98" i="6"/>
  <c r="O98" i="6" s="1"/>
  <c r="S98" i="6" s="1"/>
  <c r="D98" i="6"/>
  <c r="E98" i="6"/>
  <c r="P98" i="6" s="1"/>
  <c r="F98" i="6"/>
  <c r="H98" i="6" s="1"/>
  <c r="G98" i="6"/>
  <c r="I98" i="6" s="1"/>
  <c r="J98" i="6"/>
  <c r="L98" i="6" s="1"/>
  <c r="K98" i="6"/>
  <c r="M98" i="6"/>
  <c r="Q98" i="6"/>
  <c r="R98" i="6"/>
  <c r="B99" i="6"/>
  <c r="N99" i="6" s="1"/>
  <c r="C99" i="6"/>
  <c r="O99" i="6" s="1"/>
  <c r="S99" i="6" s="1"/>
  <c r="D99" i="6"/>
  <c r="E99" i="6"/>
  <c r="P99" i="6" s="1"/>
  <c r="F99" i="6"/>
  <c r="G99" i="6"/>
  <c r="H99" i="6"/>
  <c r="I99" i="6"/>
  <c r="J99" i="6"/>
  <c r="K99" i="6"/>
  <c r="L99" i="6"/>
  <c r="M99" i="6"/>
  <c r="Q99" i="6"/>
  <c r="R99" i="6"/>
  <c r="B100" i="6"/>
  <c r="C100" i="6"/>
  <c r="F100" i="6"/>
  <c r="H100" i="6" s="1"/>
  <c r="G100" i="6"/>
  <c r="I100" i="6" s="1"/>
  <c r="Q100" i="6" s="1"/>
  <c r="J100" i="6"/>
  <c r="K100" i="6"/>
  <c r="L100" i="6"/>
  <c r="M100" i="6"/>
  <c r="R100" i="6"/>
  <c r="B101" i="6"/>
  <c r="C101" i="6"/>
  <c r="D101" i="6"/>
  <c r="E101" i="6"/>
  <c r="P101" i="6" s="1"/>
  <c r="F101" i="6"/>
  <c r="G101" i="6"/>
  <c r="H101" i="6"/>
  <c r="I101" i="6"/>
  <c r="J101" i="6"/>
  <c r="K101" i="6"/>
  <c r="L101" i="6"/>
  <c r="M101" i="6"/>
  <c r="N101" i="6"/>
  <c r="O101" i="6"/>
  <c r="S101" i="6" s="1"/>
  <c r="Q101" i="6"/>
  <c r="R101" i="6"/>
  <c r="B102" i="6"/>
  <c r="C102" i="6"/>
  <c r="O102" i="6" s="1"/>
  <c r="S102" i="6" s="1"/>
  <c r="E102" i="6"/>
  <c r="P102" i="6" s="1"/>
  <c r="F102" i="6"/>
  <c r="G102" i="6"/>
  <c r="H102" i="6"/>
  <c r="I102" i="6"/>
  <c r="Q102" i="6" s="1"/>
  <c r="J102" i="6"/>
  <c r="K102" i="6"/>
  <c r="L102" i="6"/>
  <c r="M102" i="6"/>
  <c r="R102" i="6"/>
  <c r="B103" i="6"/>
  <c r="C103" i="6"/>
  <c r="D103" i="6"/>
  <c r="F103" i="6"/>
  <c r="G103" i="6"/>
  <c r="H103" i="6"/>
  <c r="I103" i="6"/>
  <c r="J103" i="6"/>
  <c r="K103" i="6"/>
  <c r="L103" i="6"/>
  <c r="M103" i="6"/>
  <c r="R103" i="6" s="1"/>
  <c r="N103" i="6"/>
  <c r="Q103" i="6"/>
  <c r="S4" i="6"/>
  <c r="R4" i="6"/>
  <c r="Q4" i="6"/>
  <c r="P4" i="6"/>
  <c r="O4" i="6"/>
  <c r="M4" i="6"/>
  <c r="K4" i="6"/>
  <c r="I4" i="6"/>
  <c r="G4" i="6"/>
  <c r="R4" i="3"/>
  <c r="S4" i="3"/>
  <c r="T4" i="3"/>
  <c r="U4" i="3"/>
  <c r="V4" i="3"/>
  <c r="W4" i="3"/>
  <c r="X4" i="3"/>
  <c r="Y4" i="3"/>
  <c r="Z4" i="3"/>
  <c r="AA4" i="3"/>
  <c r="AB4" i="3"/>
  <c r="AC4" i="3"/>
  <c r="AD4" i="3"/>
  <c r="AE4" i="3"/>
  <c r="AF4" i="3"/>
  <c r="C4" i="6" s="1"/>
  <c r="E4" i="6" s="1"/>
  <c r="AG4" i="3"/>
  <c r="D49" i="1"/>
  <c r="D51" i="1"/>
  <c r="D50" i="1"/>
  <c r="B46" i="3"/>
  <c r="C46" i="3"/>
  <c r="D46" i="3"/>
  <c r="E46" i="3"/>
  <c r="F46" i="3"/>
  <c r="G46" i="3"/>
  <c r="H46" i="3"/>
  <c r="I46" i="3"/>
  <c r="J46" i="3"/>
  <c r="K46" i="3"/>
  <c r="L46" i="3"/>
  <c r="M46" i="3"/>
  <c r="N46" i="3"/>
  <c r="O46" i="3"/>
  <c r="P46" i="3"/>
  <c r="Q46" i="3"/>
  <c r="R46" i="3"/>
  <c r="S46" i="3"/>
  <c r="T46" i="3"/>
  <c r="U46" i="3"/>
  <c r="V46" i="3"/>
  <c r="W46" i="3"/>
  <c r="X46" i="3"/>
  <c r="Y46" i="3"/>
  <c r="Z46" i="3"/>
  <c r="AA46" i="3"/>
  <c r="AB46" i="3"/>
  <c r="AC46" i="3"/>
  <c r="AD46" i="3"/>
  <c r="AE46" i="3"/>
  <c r="AF46" i="3"/>
  <c r="AG46" i="3"/>
  <c r="B47" i="3"/>
  <c r="C47" i="3"/>
  <c r="D47" i="3"/>
  <c r="E47" i="3"/>
  <c r="F47" i="3"/>
  <c r="G47" i="3"/>
  <c r="H47" i="3"/>
  <c r="I47" i="3"/>
  <c r="J47" i="3"/>
  <c r="K47" i="3"/>
  <c r="L47" i="3"/>
  <c r="M47" i="3"/>
  <c r="N47" i="3"/>
  <c r="O47" i="3"/>
  <c r="P47" i="3"/>
  <c r="Q47" i="3"/>
  <c r="R47" i="3"/>
  <c r="S47" i="3"/>
  <c r="T47" i="3"/>
  <c r="U47" i="3"/>
  <c r="V47" i="3"/>
  <c r="W47" i="3"/>
  <c r="X47" i="3"/>
  <c r="Y47" i="3"/>
  <c r="Z47" i="3"/>
  <c r="AA47" i="3"/>
  <c r="AB47" i="3"/>
  <c r="AC47" i="3"/>
  <c r="AD47" i="3"/>
  <c r="AE47" i="3"/>
  <c r="AF47" i="3"/>
  <c r="AG47" i="3"/>
  <c r="B43" i="3"/>
  <c r="C43" i="3"/>
  <c r="D43" i="3"/>
  <c r="E43" i="3"/>
  <c r="F43" i="3"/>
  <c r="G43" i="3"/>
  <c r="H43" i="3"/>
  <c r="I43" i="3"/>
  <c r="J43" i="3"/>
  <c r="K43" i="3"/>
  <c r="L43" i="3"/>
  <c r="M43" i="3"/>
  <c r="N43" i="3"/>
  <c r="O43" i="3"/>
  <c r="P43" i="3"/>
  <c r="Q43" i="3"/>
  <c r="R43" i="3"/>
  <c r="S43" i="3"/>
  <c r="T43" i="3"/>
  <c r="U43" i="3"/>
  <c r="V43" i="3"/>
  <c r="W43" i="3"/>
  <c r="X43" i="3"/>
  <c r="Y43" i="3"/>
  <c r="Z43" i="3"/>
  <c r="AA43" i="3"/>
  <c r="AB43" i="3"/>
  <c r="AC43" i="3"/>
  <c r="AD43" i="3"/>
  <c r="AE43" i="3"/>
  <c r="AF43" i="3"/>
  <c r="AG43" i="3"/>
  <c r="B44" i="3"/>
  <c r="C44" i="3"/>
  <c r="D44" i="3"/>
  <c r="E44" i="3"/>
  <c r="F44" i="3"/>
  <c r="G44" i="3"/>
  <c r="H44" i="3"/>
  <c r="I44" i="3"/>
  <c r="J44" i="3"/>
  <c r="K44" i="3"/>
  <c r="L44" i="3"/>
  <c r="M44" i="3"/>
  <c r="N44" i="3"/>
  <c r="O44" i="3"/>
  <c r="P44" i="3"/>
  <c r="Q44" i="3"/>
  <c r="R44" i="3"/>
  <c r="S44" i="3"/>
  <c r="T44" i="3"/>
  <c r="U44" i="3"/>
  <c r="V44" i="3"/>
  <c r="W44" i="3"/>
  <c r="X44" i="3"/>
  <c r="Y44" i="3"/>
  <c r="Z44" i="3"/>
  <c r="AA44" i="3"/>
  <c r="AB44" i="3"/>
  <c r="AC44" i="3"/>
  <c r="AD44" i="3"/>
  <c r="AE44" i="3"/>
  <c r="AF44" i="3"/>
  <c r="AG44" i="3"/>
  <c r="B45" i="3"/>
  <c r="C45" i="3"/>
  <c r="D45" i="3"/>
  <c r="E45" i="3"/>
  <c r="F45" i="3"/>
  <c r="G45" i="3"/>
  <c r="H45" i="3"/>
  <c r="I45" i="3"/>
  <c r="J45" i="3"/>
  <c r="K45" i="3"/>
  <c r="L45" i="3"/>
  <c r="M45" i="3"/>
  <c r="N45" i="3"/>
  <c r="O45" i="3"/>
  <c r="P45" i="3"/>
  <c r="Q45" i="3"/>
  <c r="R45" i="3"/>
  <c r="S45" i="3"/>
  <c r="T45" i="3"/>
  <c r="U45" i="3"/>
  <c r="V45" i="3"/>
  <c r="W45" i="3"/>
  <c r="X45" i="3"/>
  <c r="Y45" i="3"/>
  <c r="Z45" i="3"/>
  <c r="AA45" i="3"/>
  <c r="AB45" i="3"/>
  <c r="AC45" i="3"/>
  <c r="AD45" i="3"/>
  <c r="AE45" i="3"/>
  <c r="AF45" i="3"/>
  <c r="AG45" i="3"/>
  <c r="B42" i="3"/>
  <c r="C42" i="3"/>
  <c r="D42" i="3"/>
  <c r="E42" i="3"/>
  <c r="F42" i="3"/>
  <c r="G42" i="3"/>
  <c r="H42" i="3"/>
  <c r="I42" i="3"/>
  <c r="J42" i="3"/>
  <c r="K42" i="3"/>
  <c r="L42" i="3"/>
  <c r="M42" i="3"/>
  <c r="N42" i="3"/>
  <c r="O42" i="3"/>
  <c r="P42" i="3"/>
  <c r="Q42" i="3"/>
  <c r="R42" i="3"/>
  <c r="S42" i="3"/>
  <c r="T42" i="3"/>
  <c r="U42" i="3"/>
  <c r="V42" i="3"/>
  <c r="W42" i="3"/>
  <c r="X42" i="3"/>
  <c r="Y42" i="3"/>
  <c r="Z42" i="3"/>
  <c r="AA42" i="3"/>
  <c r="AB42" i="3"/>
  <c r="AC42" i="3"/>
  <c r="AD42" i="3"/>
  <c r="AE42" i="3"/>
  <c r="AF42" i="3"/>
  <c r="AG42" i="3"/>
  <c r="L6" i="1"/>
  <c r="B41" i="3"/>
  <c r="C41" i="3"/>
  <c r="D41" i="3"/>
  <c r="E41" i="3"/>
  <c r="F41" i="3"/>
  <c r="G41" i="3"/>
  <c r="H41" i="3"/>
  <c r="I41" i="3"/>
  <c r="J41" i="3"/>
  <c r="K41" i="3"/>
  <c r="L41" i="3"/>
  <c r="M41" i="3"/>
  <c r="N41" i="3"/>
  <c r="O41" i="3"/>
  <c r="P41" i="3"/>
  <c r="Q41" i="3"/>
  <c r="R41" i="3"/>
  <c r="S41" i="3"/>
  <c r="T41" i="3"/>
  <c r="U41" i="3"/>
  <c r="V41" i="3"/>
  <c r="W41" i="3"/>
  <c r="X41" i="3"/>
  <c r="Y41" i="3"/>
  <c r="Z41" i="3"/>
  <c r="AA41" i="3"/>
  <c r="AB41" i="3"/>
  <c r="AC41" i="3"/>
  <c r="AD41" i="3"/>
  <c r="AE41" i="3"/>
  <c r="AF41" i="3"/>
  <c r="AG41" i="3"/>
  <c r="L7" i="1"/>
  <c r="B39" i="3"/>
  <c r="C39" i="3"/>
  <c r="D39" i="3"/>
  <c r="E39" i="3"/>
  <c r="F39" i="3"/>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B40" i="3"/>
  <c r="C40"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B38" i="3"/>
  <c r="C38" i="3"/>
  <c r="D38" i="3"/>
  <c r="E38" i="3"/>
  <c r="F38" i="3"/>
  <c r="G38" i="3"/>
  <c r="H38" i="3"/>
  <c r="I38" i="3"/>
  <c r="J38" i="3"/>
  <c r="K38" i="3"/>
  <c r="L38" i="3"/>
  <c r="M38" i="3"/>
  <c r="N38" i="3"/>
  <c r="O38" i="3"/>
  <c r="P38" i="3"/>
  <c r="Q38" i="3"/>
  <c r="R38" i="3"/>
  <c r="S38" i="3"/>
  <c r="T38" i="3"/>
  <c r="U38" i="3"/>
  <c r="V38" i="3"/>
  <c r="W38" i="3"/>
  <c r="X38" i="3"/>
  <c r="Y38" i="3"/>
  <c r="Z38" i="3"/>
  <c r="AA38" i="3"/>
  <c r="AB38" i="3"/>
  <c r="AC38" i="3"/>
  <c r="AD38" i="3"/>
  <c r="AE38" i="3"/>
  <c r="AF38" i="3"/>
  <c r="AG38" i="3"/>
  <c r="B37" i="3"/>
  <c r="C37" i="3"/>
  <c r="D37" i="3"/>
  <c r="E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B35" i="3"/>
  <c r="C35" i="3"/>
  <c r="D35" i="3"/>
  <c r="E35" i="3"/>
  <c r="F35" i="3"/>
  <c r="G35" i="3"/>
  <c r="H35" i="3"/>
  <c r="I35" i="3"/>
  <c r="J35" i="3"/>
  <c r="K35" i="3"/>
  <c r="L35" i="3"/>
  <c r="M35" i="3"/>
  <c r="N35" i="3"/>
  <c r="O35" i="3"/>
  <c r="P35" i="3"/>
  <c r="Q35" i="3"/>
  <c r="R35" i="3"/>
  <c r="S35" i="3"/>
  <c r="T35" i="3"/>
  <c r="U35" i="3"/>
  <c r="V35" i="3"/>
  <c r="W35" i="3"/>
  <c r="X35" i="3"/>
  <c r="Y35" i="3"/>
  <c r="Z35" i="3"/>
  <c r="AA35" i="3"/>
  <c r="AB35" i="3"/>
  <c r="AC35" i="3"/>
  <c r="AD35" i="3"/>
  <c r="AE35" i="3"/>
  <c r="AF35" i="3"/>
  <c r="AG35" i="3"/>
  <c r="B36" i="3"/>
  <c r="C36"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M32" i="1"/>
  <c r="M31" i="1"/>
  <c r="M30" i="1"/>
  <c r="M29" i="1"/>
  <c r="M28" i="1"/>
  <c r="M27" i="1"/>
  <c r="M26" i="1"/>
  <c r="M25" i="1"/>
  <c r="M24" i="1"/>
  <c r="M23" i="1"/>
  <c r="M22" i="1"/>
  <c r="M21" i="1"/>
  <c r="M20" i="1"/>
  <c r="M19" i="1"/>
  <c r="M18" i="1"/>
  <c r="M17" i="1"/>
  <c r="M16" i="1"/>
  <c r="M15" i="1"/>
  <c r="M14" i="1"/>
  <c r="M13" i="1"/>
  <c r="M12" i="1"/>
  <c r="M11" i="1"/>
  <c r="N25" i="6" l="1"/>
  <c r="D25" i="6"/>
  <c r="E100" i="6"/>
  <c r="P100" i="6" s="1"/>
  <c r="O100" i="6"/>
  <c r="S100" i="6" s="1"/>
  <c r="D100" i="6"/>
  <c r="N100" i="6"/>
  <c r="D52" i="6"/>
  <c r="N52" i="6"/>
  <c r="N32" i="6"/>
  <c r="D54" i="6"/>
  <c r="N54" i="6"/>
  <c r="N58" i="6"/>
  <c r="E20" i="6"/>
  <c r="P20" i="6" s="1"/>
  <c r="O20" i="6"/>
  <c r="S20" i="6" s="1"/>
  <c r="E27" i="6"/>
  <c r="P27" i="6" s="1"/>
  <c r="O27" i="6"/>
  <c r="S27" i="6" s="1"/>
  <c r="N63" i="6"/>
  <c r="O12" i="6"/>
  <c r="S12" i="6" s="1"/>
  <c r="E94" i="6"/>
  <c r="P94" i="6" s="1"/>
  <c r="O94" i="6"/>
  <c r="S94" i="6" s="1"/>
  <c r="D94" i="6"/>
  <c r="N94" i="6"/>
  <c r="O26" i="6"/>
  <c r="E26" i="6"/>
  <c r="D26" i="6"/>
  <c r="N26" i="6"/>
  <c r="O95" i="6"/>
  <c r="S95" i="6" s="1"/>
  <c r="E95" i="6"/>
  <c r="P95" i="6" s="1"/>
  <c r="E89" i="6"/>
  <c r="P89" i="6" s="1"/>
  <c r="O89" i="6"/>
  <c r="S89" i="6" s="1"/>
  <c r="D48" i="6"/>
  <c r="N48" i="6"/>
  <c r="E49" i="6"/>
  <c r="P49" i="6" s="1"/>
  <c r="O49" i="6"/>
  <c r="S49" i="6" s="1"/>
  <c r="O45" i="6"/>
  <c r="S45" i="6" s="1"/>
  <c r="N97" i="6"/>
  <c r="N70" i="6"/>
  <c r="O67" i="6"/>
  <c r="S67" i="6" s="1"/>
  <c r="O56" i="6"/>
  <c r="S56" i="6" s="1"/>
  <c r="E50" i="6"/>
  <c r="P50" i="6" s="1"/>
  <c r="O50" i="6"/>
  <c r="S50" i="6" s="1"/>
  <c r="O43" i="6"/>
  <c r="S43" i="6" s="1"/>
  <c r="S42" i="6"/>
  <c r="N31" i="6"/>
  <c r="S31" i="6" s="1"/>
  <c r="H31" i="6"/>
  <c r="Q31" i="6" s="1"/>
  <c r="D92" i="6"/>
  <c r="N92" i="6"/>
  <c r="Q32" i="6"/>
  <c r="D88" i="6"/>
  <c r="N88" i="6"/>
  <c r="E51" i="6"/>
  <c r="P51" i="6" s="1"/>
  <c r="O51" i="6"/>
  <c r="S51" i="6" s="1"/>
  <c r="O70" i="6"/>
  <c r="S70" i="6" s="1"/>
  <c r="O57" i="6"/>
  <c r="S57" i="6" s="1"/>
  <c r="Q17" i="6"/>
  <c r="D90" i="6"/>
  <c r="N90" i="6"/>
  <c r="D102" i="6"/>
  <c r="N102" i="6"/>
  <c r="O14" i="6"/>
  <c r="S14" i="6" s="1"/>
  <c r="O33" i="6"/>
  <c r="E91" i="6"/>
  <c r="P91" i="6" s="1"/>
  <c r="O91" i="6"/>
  <c r="S91" i="6" s="1"/>
  <c r="N81" i="6"/>
  <c r="D81" i="6"/>
  <c r="N56" i="6"/>
  <c r="D50" i="6"/>
  <c r="N50" i="6"/>
  <c r="O34" i="6"/>
  <c r="O25" i="6"/>
  <c r="S25" i="6" s="1"/>
  <c r="E25" i="6"/>
  <c r="P25" i="6" s="1"/>
  <c r="E88" i="6"/>
  <c r="P88" i="6" s="1"/>
  <c r="O88" i="6"/>
  <c r="S88" i="6" s="1"/>
  <c r="I61" i="6"/>
  <c r="Q61" i="6" s="1"/>
  <c r="O61" i="6"/>
  <c r="S61" i="6" s="1"/>
  <c r="O16" i="6"/>
  <c r="S16" i="6" s="1"/>
  <c r="E16" i="6"/>
  <c r="P16" i="6" s="1"/>
  <c r="O58" i="6"/>
  <c r="S58" i="6" s="1"/>
  <c r="E90" i="6"/>
  <c r="P90" i="6" s="1"/>
  <c r="O90" i="6"/>
  <c r="S90" i="6" s="1"/>
  <c r="O103" i="6"/>
  <c r="S103" i="6" s="1"/>
  <c r="E103" i="6"/>
  <c r="P103" i="6" s="1"/>
  <c r="D28" i="6"/>
  <c r="P28" i="6" s="1"/>
  <c r="N28" i="6"/>
  <c r="S28" i="6" s="1"/>
  <c r="E60" i="6"/>
  <c r="P60" i="6" s="1"/>
  <c r="O60" i="6"/>
  <c r="S60" i="6" s="1"/>
  <c r="I38" i="6"/>
  <c r="Q38" i="6" s="1"/>
  <c r="N34" i="6"/>
  <c r="O18" i="6"/>
  <c r="S18" i="6" s="1"/>
  <c r="N23" i="6"/>
  <c r="O39" i="6"/>
  <c r="S39" i="6" s="1"/>
  <c r="N79" i="6"/>
  <c r="O40" i="6"/>
  <c r="S40" i="6" s="1"/>
  <c r="N9" i="6"/>
  <c r="N87" i="6"/>
  <c r="N65" i="6"/>
  <c r="N60" i="6"/>
  <c r="N38" i="6"/>
  <c r="S38" i="6" s="1"/>
  <c r="O36" i="6"/>
  <c r="O24" i="6"/>
  <c r="S24" i="6" s="1"/>
  <c r="N20" i="6"/>
  <c r="O17" i="6"/>
  <c r="S17" i="6" s="1"/>
  <c r="N57" i="6"/>
  <c r="N71" i="6"/>
  <c r="O71" i="6"/>
  <c r="S71" i="6" s="1"/>
  <c r="O79" i="6"/>
  <c r="S79" i="6" s="1"/>
  <c r="O47" i="6"/>
  <c r="S47" i="6" s="1"/>
  <c r="N41" i="6"/>
  <c r="S41" i="6" s="1"/>
  <c r="N36" i="6"/>
  <c r="N24" i="6"/>
  <c r="O15" i="6"/>
  <c r="N39" i="6"/>
  <c r="N17" i="6"/>
  <c r="O63" i="6"/>
  <c r="S63" i="6" s="1"/>
  <c r="N8" i="6"/>
  <c r="O64" i="6"/>
  <c r="S64" i="6" s="1"/>
  <c r="N47" i="6"/>
  <c r="O9" i="6"/>
  <c r="S9" i="6" s="1"/>
  <c r="N95" i="6"/>
  <c r="N73" i="6"/>
  <c r="P6" i="6"/>
  <c r="O32" i="6"/>
  <c r="S32" i="6" s="1"/>
  <c r="O8" i="6"/>
  <c r="S8" i="6" s="1"/>
  <c r="N33" i="6"/>
  <c r="O23" i="6"/>
  <c r="N15" i="6"/>
  <c r="N62" i="6"/>
  <c r="O87" i="6"/>
  <c r="S87" i="6" s="1"/>
  <c r="N55" i="6"/>
  <c r="O48" i="6"/>
  <c r="S48" i="6" s="1"/>
  <c r="P30" i="6"/>
  <c r="G46" i="1"/>
  <c r="S26" i="6" l="1"/>
  <c r="S15" i="6"/>
  <c r="P26" i="6"/>
  <c r="S33" i="6"/>
  <c r="S34" i="6"/>
  <c r="S36" i="6"/>
  <c r="S23" i="6"/>
  <c r="H45" i="1"/>
  <c r="F46" i="1"/>
  <c r="G45" i="1"/>
  <c r="E37" i="1"/>
  <c r="F45" i="1"/>
  <c r="E45" i="1"/>
  <c r="G42" i="1"/>
  <c r="G43" i="1"/>
  <c r="E46" i="1"/>
  <c r="H46" i="1"/>
  <c r="F43" i="1"/>
  <c r="F42" i="1"/>
  <c r="G44" i="1"/>
  <c r="G40" i="1"/>
  <c r="E44" i="1"/>
  <c r="G41" i="1"/>
  <c r="H44" i="1"/>
  <c r="F44" i="1"/>
  <c r="E41" i="1"/>
  <c r="E40" i="1"/>
  <c r="G39" i="1"/>
  <c r="F41" i="1"/>
  <c r="F40" i="1"/>
  <c r="G38" i="1"/>
  <c r="E39" i="1"/>
  <c r="E36" i="1"/>
  <c r="E38" i="1"/>
  <c r="F37" i="1"/>
  <c r="F39" i="1"/>
  <c r="F38" i="1"/>
  <c r="G36" i="1"/>
  <c r="G37" i="1"/>
  <c r="E35" i="1"/>
  <c r="G35" i="1"/>
  <c r="F36" i="1"/>
  <c r="G34" i="1"/>
  <c r="E34" i="1"/>
  <c r="F35" i="1"/>
  <c r="F34" i="1"/>
  <c r="H41" i="1" l="1"/>
  <c r="E42" i="1"/>
  <c r="H34" i="1"/>
  <c r="H40" i="1"/>
  <c r="H42" i="1"/>
  <c r="E43" i="1"/>
  <c r="H43" i="1"/>
  <c r="H35" i="1"/>
  <c r="H37" i="1"/>
  <c r="H36" i="1"/>
  <c r="H38" i="1"/>
  <c r="H39" i="1"/>
  <c r="B34" i="3" l="1"/>
  <c r="C34" i="3"/>
  <c r="D34" i="3"/>
  <c r="E34" i="3"/>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B33" i="3"/>
  <c r="C33" i="3"/>
  <c r="D33" i="3"/>
  <c r="E33" i="3"/>
  <c r="F33" i="3"/>
  <c r="G33" i="3"/>
  <c r="H33" i="3"/>
  <c r="I33" i="3"/>
  <c r="J33" i="3"/>
  <c r="K33" i="3"/>
  <c r="L33" i="3"/>
  <c r="M33" i="3"/>
  <c r="N33" i="3"/>
  <c r="O33" i="3"/>
  <c r="P33" i="3"/>
  <c r="Q33" i="3"/>
  <c r="R33" i="3"/>
  <c r="S33" i="3"/>
  <c r="T33" i="3"/>
  <c r="U33" i="3"/>
  <c r="V33" i="3"/>
  <c r="W33" i="3"/>
  <c r="X33" i="3"/>
  <c r="Y33" i="3"/>
  <c r="Z33" i="3"/>
  <c r="AA33" i="3"/>
  <c r="AB33" i="3"/>
  <c r="AC33" i="3"/>
  <c r="AD33" i="3"/>
  <c r="AE33" i="3"/>
  <c r="AF33" i="3"/>
  <c r="AG33" i="3"/>
  <c r="B32" i="3"/>
  <c r="C32" i="3"/>
  <c r="D32" i="3"/>
  <c r="E32" i="3"/>
  <c r="F32" i="3"/>
  <c r="G32" i="3"/>
  <c r="H32" i="3"/>
  <c r="I32" i="3"/>
  <c r="J32" i="3"/>
  <c r="K32" i="3"/>
  <c r="L32" i="3"/>
  <c r="M32" i="3"/>
  <c r="N32" i="3"/>
  <c r="O32" i="3"/>
  <c r="P32" i="3"/>
  <c r="Q32" i="3"/>
  <c r="R32" i="3"/>
  <c r="S32" i="3"/>
  <c r="T32" i="3"/>
  <c r="U32" i="3"/>
  <c r="V32" i="3"/>
  <c r="W32" i="3"/>
  <c r="X32" i="3"/>
  <c r="Y32" i="3"/>
  <c r="Z32" i="3"/>
  <c r="AA32" i="3"/>
  <c r="AB32" i="3"/>
  <c r="AC32" i="3"/>
  <c r="AD32" i="3"/>
  <c r="AE32" i="3"/>
  <c r="AF32" i="3"/>
  <c r="AG32" i="3"/>
  <c r="E33" i="1" l="1"/>
  <c r="F33" i="1" l="1"/>
  <c r="G33" i="1"/>
  <c r="G32" i="1"/>
  <c r="E32" i="1"/>
  <c r="F32" i="1"/>
  <c r="E31" i="1"/>
  <c r="F31" i="1"/>
  <c r="G31" i="1"/>
  <c r="H33" i="1" l="1"/>
  <c r="H32" i="1"/>
  <c r="H31" i="1"/>
  <c r="B31" i="3" l="1"/>
  <c r="C31" i="3"/>
  <c r="D31" i="3"/>
  <c r="E31" i="3"/>
  <c r="F31" i="3"/>
  <c r="G31" i="3"/>
  <c r="H31" i="3"/>
  <c r="I31" i="3"/>
  <c r="J31" i="3"/>
  <c r="K31" i="3"/>
  <c r="L31" i="3"/>
  <c r="M31" i="3"/>
  <c r="N31" i="3"/>
  <c r="O31" i="3"/>
  <c r="P31" i="3"/>
  <c r="Q31" i="3"/>
  <c r="R31" i="3"/>
  <c r="S31" i="3"/>
  <c r="T31" i="3"/>
  <c r="U31" i="3"/>
  <c r="V31" i="3"/>
  <c r="W31" i="3"/>
  <c r="X31" i="3"/>
  <c r="Y31" i="3"/>
  <c r="Z31" i="3"/>
  <c r="AA31" i="3"/>
  <c r="AB31" i="3"/>
  <c r="AC31" i="3"/>
  <c r="AD31" i="3"/>
  <c r="AE31" i="3"/>
  <c r="AF31" i="3"/>
  <c r="AG31" i="3"/>
  <c r="B26" i="3"/>
  <c r="C26" i="3"/>
  <c r="D26" i="3"/>
  <c r="E26" i="3"/>
  <c r="F26" i="3"/>
  <c r="G26" i="3"/>
  <c r="H26" i="3"/>
  <c r="I26" i="3"/>
  <c r="J26" i="3"/>
  <c r="K26" i="3"/>
  <c r="L26" i="3"/>
  <c r="M26" i="3"/>
  <c r="N26" i="3"/>
  <c r="O26" i="3"/>
  <c r="P26" i="3"/>
  <c r="Q26" i="3"/>
  <c r="R26" i="3"/>
  <c r="S26" i="3"/>
  <c r="T26" i="3"/>
  <c r="U26" i="3"/>
  <c r="V26" i="3"/>
  <c r="W26" i="3"/>
  <c r="X26" i="3"/>
  <c r="Y26" i="3"/>
  <c r="Z26" i="3"/>
  <c r="AA26" i="3"/>
  <c r="AB26" i="3"/>
  <c r="AC26" i="3"/>
  <c r="AD26" i="3"/>
  <c r="AE26" i="3"/>
  <c r="AF26" i="3"/>
  <c r="AG26" i="3"/>
  <c r="B27" i="3"/>
  <c r="C27" i="3"/>
  <c r="D27" i="3"/>
  <c r="E27" i="3"/>
  <c r="F27" i="3"/>
  <c r="G27" i="3"/>
  <c r="H27" i="3"/>
  <c r="I27" i="3"/>
  <c r="J27" i="3"/>
  <c r="K27" i="3"/>
  <c r="L27" i="3"/>
  <c r="M27" i="3"/>
  <c r="N27" i="3"/>
  <c r="O27" i="3"/>
  <c r="P27" i="3"/>
  <c r="Q27" i="3"/>
  <c r="R27" i="3"/>
  <c r="S27" i="3"/>
  <c r="T27" i="3"/>
  <c r="U27" i="3"/>
  <c r="V27" i="3"/>
  <c r="W27" i="3"/>
  <c r="X27" i="3"/>
  <c r="Y27" i="3"/>
  <c r="Z27" i="3"/>
  <c r="AA27" i="3"/>
  <c r="AB27" i="3"/>
  <c r="AC27" i="3"/>
  <c r="AD27" i="3"/>
  <c r="AE27" i="3"/>
  <c r="AF27" i="3"/>
  <c r="AG27" i="3"/>
  <c r="B28" i="3"/>
  <c r="C28" i="3"/>
  <c r="D28" i="3"/>
  <c r="E28" i="3"/>
  <c r="F28" i="3"/>
  <c r="G28" i="3"/>
  <c r="H28" i="3"/>
  <c r="I28" i="3"/>
  <c r="J28" i="3"/>
  <c r="K28" i="3"/>
  <c r="L28" i="3"/>
  <c r="M28" i="3"/>
  <c r="N28" i="3"/>
  <c r="O28" i="3"/>
  <c r="P28" i="3"/>
  <c r="Q28" i="3"/>
  <c r="R28" i="3"/>
  <c r="S28" i="3"/>
  <c r="T28" i="3"/>
  <c r="U28" i="3"/>
  <c r="V28" i="3"/>
  <c r="W28" i="3"/>
  <c r="X28" i="3"/>
  <c r="Y28" i="3"/>
  <c r="Z28" i="3"/>
  <c r="AA28" i="3"/>
  <c r="AB28" i="3"/>
  <c r="AC28" i="3"/>
  <c r="AD28" i="3"/>
  <c r="AE28" i="3"/>
  <c r="AF28" i="3"/>
  <c r="AG28" i="3"/>
  <c r="B29" i="3"/>
  <c r="C29" i="3"/>
  <c r="D29" i="3"/>
  <c r="E29" i="3"/>
  <c r="F29" i="3"/>
  <c r="G29" i="3"/>
  <c r="H29" i="3"/>
  <c r="I29" i="3"/>
  <c r="J29" i="3"/>
  <c r="K29" i="3"/>
  <c r="L29" i="3"/>
  <c r="M29" i="3"/>
  <c r="N29" i="3"/>
  <c r="O29" i="3"/>
  <c r="P29" i="3"/>
  <c r="Q29" i="3"/>
  <c r="R29" i="3"/>
  <c r="S29" i="3"/>
  <c r="T29" i="3"/>
  <c r="U29" i="3"/>
  <c r="V29" i="3"/>
  <c r="W29" i="3"/>
  <c r="X29" i="3"/>
  <c r="Y29" i="3"/>
  <c r="Z29" i="3"/>
  <c r="AA29" i="3"/>
  <c r="AB29" i="3"/>
  <c r="AC29" i="3"/>
  <c r="AD29" i="3"/>
  <c r="AE29" i="3"/>
  <c r="AF29" i="3"/>
  <c r="AG29" i="3"/>
  <c r="B30" i="3"/>
  <c r="C30" i="3"/>
  <c r="D30" i="3"/>
  <c r="E30" i="3"/>
  <c r="F30" i="3"/>
  <c r="G30" i="3"/>
  <c r="H30" i="3"/>
  <c r="I30" i="3"/>
  <c r="J30" i="3"/>
  <c r="K30" i="3"/>
  <c r="L30" i="3"/>
  <c r="M30" i="3"/>
  <c r="N30" i="3"/>
  <c r="O30" i="3"/>
  <c r="P30" i="3"/>
  <c r="Q30" i="3"/>
  <c r="R30" i="3"/>
  <c r="S30" i="3"/>
  <c r="T30" i="3"/>
  <c r="U30" i="3"/>
  <c r="V30" i="3"/>
  <c r="W30" i="3"/>
  <c r="X30" i="3"/>
  <c r="Y30" i="3"/>
  <c r="Z30" i="3"/>
  <c r="AA30" i="3"/>
  <c r="AB30" i="3"/>
  <c r="AC30" i="3"/>
  <c r="AD30" i="3"/>
  <c r="AE30" i="3"/>
  <c r="AF30" i="3"/>
  <c r="AG30" i="3"/>
  <c r="B24" i="3"/>
  <c r="C24" i="3"/>
  <c r="D24" i="3"/>
  <c r="E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AG24" i="3"/>
  <c r="B25" i="3"/>
  <c r="C25" i="3"/>
  <c r="D25" i="3"/>
  <c r="E25" i="3"/>
  <c r="F25" i="3"/>
  <c r="G25" i="3"/>
  <c r="H25" i="3"/>
  <c r="I25" i="3"/>
  <c r="J25" i="3"/>
  <c r="K25" i="3"/>
  <c r="L25" i="3"/>
  <c r="M25" i="3"/>
  <c r="N25" i="3"/>
  <c r="O25" i="3"/>
  <c r="P25" i="3"/>
  <c r="Q25" i="3"/>
  <c r="R25" i="3"/>
  <c r="S25" i="3"/>
  <c r="T25" i="3"/>
  <c r="U25" i="3"/>
  <c r="V25" i="3"/>
  <c r="W25" i="3"/>
  <c r="X25" i="3"/>
  <c r="Y25" i="3"/>
  <c r="Z25" i="3"/>
  <c r="AA25" i="3"/>
  <c r="AB25" i="3"/>
  <c r="AC25" i="3"/>
  <c r="AD25" i="3"/>
  <c r="AE25" i="3"/>
  <c r="AF25" i="3"/>
  <c r="AG25" i="3"/>
  <c r="B23" i="3"/>
  <c r="C23" i="3"/>
  <c r="D23" i="3"/>
  <c r="E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AG23" i="3"/>
  <c r="B22" i="3"/>
  <c r="C22" i="3"/>
  <c r="D22" i="3"/>
  <c r="E22" i="3"/>
  <c r="F22" i="3"/>
  <c r="G22" i="3"/>
  <c r="H22" i="3"/>
  <c r="I22" i="3"/>
  <c r="J22" i="3"/>
  <c r="K22" i="3"/>
  <c r="L22" i="3"/>
  <c r="M22" i="3"/>
  <c r="N22" i="3"/>
  <c r="O22" i="3"/>
  <c r="P22" i="3"/>
  <c r="Q22" i="3"/>
  <c r="R22" i="3"/>
  <c r="S22" i="3"/>
  <c r="T22" i="3"/>
  <c r="U22" i="3"/>
  <c r="V22" i="3"/>
  <c r="W22" i="3"/>
  <c r="X22" i="3"/>
  <c r="Y22" i="3"/>
  <c r="Z22" i="3"/>
  <c r="AA22" i="3"/>
  <c r="AB22" i="3"/>
  <c r="AC22" i="3"/>
  <c r="AD22" i="3"/>
  <c r="AE22" i="3"/>
  <c r="AF22" i="3"/>
  <c r="AG22" i="3"/>
  <c r="B20" i="3"/>
  <c r="C20" i="3"/>
  <c r="D20" i="3"/>
  <c r="E20" i="3"/>
  <c r="F20" i="3"/>
  <c r="G20" i="3"/>
  <c r="H20" i="3"/>
  <c r="I20" i="3"/>
  <c r="J20" i="3"/>
  <c r="K20" i="3"/>
  <c r="L20" i="3"/>
  <c r="M20" i="3"/>
  <c r="N20" i="3"/>
  <c r="O20" i="3"/>
  <c r="P20" i="3"/>
  <c r="Q20" i="3"/>
  <c r="R20" i="3"/>
  <c r="S20" i="3"/>
  <c r="T20" i="3"/>
  <c r="U20" i="3"/>
  <c r="V20" i="3"/>
  <c r="W20" i="3"/>
  <c r="X20" i="3"/>
  <c r="Y20" i="3"/>
  <c r="Z20" i="3"/>
  <c r="AA20" i="3"/>
  <c r="AB20" i="3"/>
  <c r="AC20" i="3"/>
  <c r="AD20" i="3"/>
  <c r="AE20" i="3"/>
  <c r="AF20" i="3"/>
  <c r="AG20" i="3"/>
  <c r="B21" i="3"/>
  <c r="C21" i="3"/>
  <c r="D21" i="3"/>
  <c r="E21" i="3"/>
  <c r="F21" i="3"/>
  <c r="G21" i="3"/>
  <c r="H21" i="3"/>
  <c r="I21" i="3"/>
  <c r="J21" i="3"/>
  <c r="K21" i="3"/>
  <c r="L21" i="3"/>
  <c r="M21" i="3"/>
  <c r="N21" i="3"/>
  <c r="O21" i="3"/>
  <c r="P21" i="3"/>
  <c r="Q21" i="3"/>
  <c r="R21" i="3"/>
  <c r="S21" i="3"/>
  <c r="T21" i="3"/>
  <c r="U21" i="3"/>
  <c r="V21" i="3"/>
  <c r="W21" i="3"/>
  <c r="X21" i="3"/>
  <c r="Y21" i="3"/>
  <c r="Z21" i="3"/>
  <c r="AA21" i="3"/>
  <c r="AB21" i="3"/>
  <c r="AC21" i="3"/>
  <c r="AD21" i="3"/>
  <c r="AE21" i="3"/>
  <c r="AF21" i="3"/>
  <c r="AG21" i="3"/>
  <c r="B18" i="3"/>
  <c r="C18" i="3"/>
  <c r="D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G18" i="3"/>
  <c r="B19" i="3"/>
  <c r="C19" i="3"/>
  <c r="D19" i="3"/>
  <c r="E1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AG19" i="3"/>
  <c r="L4" i="1"/>
  <c r="L3" i="1"/>
  <c r="R6" i="3"/>
  <c r="S6" i="3"/>
  <c r="T6" i="3"/>
  <c r="U6" i="3"/>
  <c r="V6" i="3"/>
  <c r="W6" i="3"/>
  <c r="X6" i="3"/>
  <c r="Y6" i="3"/>
  <c r="Z6" i="3"/>
  <c r="AA6" i="3"/>
  <c r="AB6" i="3"/>
  <c r="AC6" i="3"/>
  <c r="AD6" i="3"/>
  <c r="AE6" i="3"/>
  <c r="AF6" i="3"/>
  <c r="AG6" i="3"/>
  <c r="R7" i="3"/>
  <c r="S7" i="3"/>
  <c r="T7" i="3"/>
  <c r="U7" i="3"/>
  <c r="V7" i="3"/>
  <c r="W7" i="3"/>
  <c r="X7" i="3"/>
  <c r="Y7" i="3"/>
  <c r="Z7" i="3"/>
  <c r="AA7" i="3"/>
  <c r="AB7" i="3"/>
  <c r="AC7" i="3"/>
  <c r="AD7" i="3"/>
  <c r="AE7" i="3"/>
  <c r="AF7" i="3"/>
  <c r="AG7" i="3"/>
  <c r="R8" i="3"/>
  <c r="S8" i="3"/>
  <c r="T8" i="3"/>
  <c r="U8" i="3"/>
  <c r="V8" i="3"/>
  <c r="W8" i="3"/>
  <c r="X8" i="3"/>
  <c r="Y8" i="3"/>
  <c r="Z8" i="3"/>
  <c r="AA8" i="3"/>
  <c r="AB8" i="3"/>
  <c r="AC8" i="3"/>
  <c r="AD8" i="3"/>
  <c r="AE8" i="3"/>
  <c r="AF8" i="3"/>
  <c r="AG8" i="3"/>
  <c r="R9" i="3"/>
  <c r="S9" i="3"/>
  <c r="T9" i="3"/>
  <c r="U9" i="3"/>
  <c r="V9" i="3"/>
  <c r="W9" i="3"/>
  <c r="X9" i="3"/>
  <c r="Y9" i="3"/>
  <c r="Z9" i="3"/>
  <c r="AA9" i="3"/>
  <c r="AB9" i="3"/>
  <c r="AC9" i="3"/>
  <c r="AD9" i="3"/>
  <c r="AE9" i="3"/>
  <c r="AF9" i="3"/>
  <c r="AG9" i="3"/>
  <c r="R10" i="3"/>
  <c r="S10" i="3"/>
  <c r="T10" i="3"/>
  <c r="U10" i="3"/>
  <c r="V10" i="3"/>
  <c r="W10" i="3"/>
  <c r="X10" i="3"/>
  <c r="Y10" i="3"/>
  <c r="Z10" i="3"/>
  <c r="AA10" i="3"/>
  <c r="AB10" i="3"/>
  <c r="AC10" i="3"/>
  <c r="AD10" i="3"/>
  <c r="AE10" i="3"/>
  <c r="AF10" i="3"/>
  <c r="AG10" i="3"/>
  <c r="R11" i="3"/>
  <c r="S11" i="3"/>
  <c r="T11" i="3"/>
  <c r="U11" i="3"/>
  <c r="V11" i="3"/>
  <c r="W11" i="3"/>
  <c r="X11" i="3"/>
  <c r="Y11" i="3"/>
  <c r="Z11" i="3"/>
  <c r="AA11" i="3"/>
  <c r="AB11" i="3"/>
  <c r="AC11" i="3"/>
  <c r="AD11" i="3"/>
  <c r="AE11" i="3"/>
  <c r="AF11" i="3"/>
  <c r="AG11" i="3"/>
  <c r="R12" i="3"/>
  <c r="S12" i="3"/>
  <c r="T12" i="3"/>
  <c r="U12" i="3"/>
  <c r="V12" i="3"/>
  <c r="W12" i="3"/>
  <c r="X12" i="3"/>
  <c r="Y12" i="3"/>
  <c r="Z12" i="3"/>
  <c r="AA12" i="3"/>
  <c r="AB12" i="3"/>
  <c r="AC12" i="3"/>
  <c r="AD12" i="3"/>
  <c r="AE12" i="3"/>
  <c r="AF12" i="3"/>
  <c r="AG12" i="3"/>
  <c r="R13" i="3"/>
  <c r="S13" i="3"/>
  <c r="T13" i="3"/>
  <c r="U13" i="3"/>
  <c r="V13" i="3"/>
  <c r="W13" i="3"/>
  <c r="X13" i="3"/>
  <c r="Y13" i="3"/>
  <c r="Z13" i="3"/>
  <c r="AA13" i="3"/>
  <c r="AB13" i="3"/>
  <c r="AC13" i="3"/>
  <c r="AD13" i="3"/>
  <c r="AE13" i="3"/>
  <c r="AF13" i="3"/>
  <c r="AG13" i="3"/>
  <c r="R14" i="3"/>
  <c r="S14" i="3"/>
  <c r="T14" i="3"/>
  <c r="U14" i="3"/>
  <c r="V14" i="3"/>
  <c r="W14" i="3"/>
  <c r="X14" i="3"/>
  <c r="Y14" i="3"/>
  <c r="Z14" i="3"/>
  <c r="AA14" i="3"/>
  <c r="AB14" i="3"/>
  <c r="AC14" i="3"/>
  <c r="AD14" i="3"/>
  <c r="AE14" i="3"/>
  <c r="AF14" i="3"/>
  <c r="AG14" i="3"/>
  <c r="R15" i="3"/>
  <c r="S15" i="3"/>
  <c r="T15" i="3"/>
  <c r="U15" i="3"/>
  <c r="V15" i="3"/>
  <c r="W15" i="3"/>
  <c r="X15" i="3"/>
  <c r="Y15" i="3"/>
  <c r="Z15" i="3"/>
  <c r="AA15" i="3"/>
  <c r="AB15" i="3"/>
  <c r="AC15" i="3"/>
  <c r="AD15" i="3"/>
  <c r="AE15" i="3"/>
  <c r="AF15" i="3"/>
  <c r="AG15" i="3"/>
  <c r="R16" i="3"/>
  <c r="S16" i="3"/>
  <c r="T16" i="3"/>
  <c r="U16" i="3"/>
  <c r="V16" i="3"/>
  <c r="W16" i="3"/>
  <c r="X16" i="3"/>
  <c r="Y16" i="3"/>
  <c r="Z16" i="3"/>
  <c r="AA16" i="3"/>
  <c r="AB16" i="3"/>
  <c r="AC16" i="3"/>
  <c r="AD16" i="3"/>
  <c r="AE16" i="3"/>
  <c r="AF16" i="3"/>
  <c r="AG16" i="3"/>
  <c r="R17" i="3"/>
  <c r="S17" i="3"/>
  <c r="T17" i="3"/>
  <c r="U17" i="3"/>
  <c r="V17" i="3"/>
  <c r="W17" i="3"/>
  <c r="X17" i="3"/>
  <c r="Y17" i="3"/>
  <c r="Z17" i="3"/>
  <c r="AA17" i="3"/>
  <c r="AB17" i="3"/>
  <c r="AC17" i="3"/>
  <c r="AD17" i="3"/>
  <c r="AE17" i="3"/>
  <c r="AF17" i="3"/>
  <c r="AG17" i="3"/>
  <c r="B6" i="3"/>
  <c r="C6" i="3"/>
  <c r="D6" i="3"/>
  <c r="E6" i="3"/>
  <c r="F6" i="3"/>
  <c r="G6" i="3"/>
  <c r="H6" i="3"/>
  <c r="I6" i="3"/>
  <c r="J6" i="3"/>
  <c r="K6" i="3"/>
  <c r="L6" i="3"/>
  <c r="M6" i="3"/>
  <c r="N6" i="3"/>
  <c r="O6" i="3"/>
  <c r="P6" i="3"/>
  <c r="Q6" i="3"/>
  <c r="B7" i="3"/>
  <c r="C7" i="3"/>
  <c r="D7" i="3"/>
  <c r="E7" i="3"/>
  <c r="F7" i="3"/>
  <c r="G7" i="3"/>
  <c r="H7" i="3"/>
  <c r="I7" i="3"/>
  <c r="J7" i="3"/>
  <c r="K7" i="3"/>
  <c r="L7" i="3"/>
  <c r="M7" i="3"/>
  <c r="N7" i="3"/>
  <c r="O7" i="3"/>
  <c r="P7" i="3"/>
  <c r="Q7" i="3"/>
  <c r="B8" i="3"/>
  <c r="C8" i="3"/>
  <c r="D8" i="3"/>
  <c r="E8" i="3"/>
  <c r="F8" i="3"/>
  <c r="G8" i="3"/>
  <c r="H8" i="3"/>
  <c r="I8" i="3"/>
  <c r="J8" i="3"/>
  <c r="K8" i="3"/>
  <c r="L8" i="3"/>
  <c r="M8" i="3"/>
  <c r="N8" i="3"/>
  <c r="O8" i="3"/>
  <c r="P8" i="3"/>
  <c r="Q8" i="3"/>
  <c r="B9" i="3"/>
  <c r="C9" i="3"/>
  <c r="D9" i="3"/>
  <c r="E9" i="3"/>
  <c r="F9" i="3"/>
  <c r="G9" i="3"/>
  <c r="H9" i="3"/>
  <c r="I9" i="3"/>
  <c r="J9" i="3"/>
  <c r="K9" i="3"/>
  <c r="L9" i="3"/>
  <c r="M9" i="3"/>
  <c r="N9" i="3"/>
  <c r="O9" i="3"/>
  <c r="P9" i="3"/>
  <c r="Q9" i="3"/>
  <c r="B10" i="3"/>
  <c r="C10" i="3"/>
  <c r="D10" i="3"/>
  <c r="E10" i="3"/>
  <c r="F10" i="3"/>
  <c r="G10" i="3"/>
  <c r="H10" i="3"/>
  <c r="I10" i="3"/>
  <c r="J10" i="3"/>
  <c r="K10" i="3"/>
  <c r="L10" i="3"/>
  <c r="M10" i="3"/>
  <c r="N10" i="3"/>
  <c r="O10" i="3"/>
  <c r="P10" i="3"/>
  <c r="Q10" i="3"/>
  <c r="B11" i="3"/>
  <c r="C11" i="3"/>
  <c r="D11" i="3"/>
  <c r="E11" i="3"/>
  <c r="F11" i="3"/>
  <c r="G11" i="3"/>
  <c r="H11" i="3"/>
  <c r="I11" i="3"/>
  <c r="J11" i="3"/>
  <c r="K11" i="3"/>
  <c r="L11" i="3"/>
  <c r="M11" i="3"/>
  <c r="N11" i="3"/>
  <c r="O11" i="3"/>
  <c r="P11" i="3"/>
  <c r="Q11" i="3"/>
  <c r="B12" i="3"/>
  <c r="C12" i="3"/>
  <c r="D12" i="3"/>
  <c r="E12" i="3"/>
  <c r="F12" i="3"/>
  <c r="G12" i="3"/>
  <c r="H12" i="3"/>
  <c r="I12" i="3"/>
  <c r="J12" i="3"/>
  <c r="K12" i="3"/>
  <c r="L12" i="3"/>
  <c r="M12" i="3"/>
  <c r="N12" i="3"/>
  <c r="O12" i="3"/>
  <c r="P12" i="3"/>
  <c r="Q12" i="3"/>
  <c r="B13" i="3"/>
  <c r="C13" i="3"/>
  <c r="D13" i="3"/>
  <c r="E13" i="3"/>
  <c r="F13" i="3"/>
  <c r="G13" i="3"/>
  <c r="H13" i="3"/>
  <c r="I13" i="3"/>
  <c r="J13" i="3"/>
  <c r="K13" i="3"/>
  <c r="L13" i="3"/>
  <c r="M13" i="3"/>
  <c r="N13" i="3"/>
  <c r="O13" i="3"/>
  <c r="P13" i="3"/>
  <c r="Q13" i="3"/>
  <c r="B14" i="3"/>
  <c r="C14" i="3"/>
  <c r="D14" i="3"/>
  <c r="E14" i="3"/>
  <c r="F14" i="3"/>
  <c r="G14" i="3"/>
  <c r="H14" i="3"/>
  <c r="I14" i="3"/>
  <c r="J14" i="3"/>
  <c r="K14" i="3"/>
  <c r="L14" i="3"/>
  <c r="M14" i="3"/>
  <c r="N14" i="3"/>
  <c r="O14" i="3"/>
  <c r="P14" i="3"/>
  <c r="Q14" i="3"/>
  <c r="B15" i="3"/>
  <c r="C15" i="3"/>
  <c r="D15" i="3"/>
  <c r="E15" i="3"/>
  <c r="F15" i="3"/>
  <c r="G15" i="3"/>
  <c r="H15" i="3"/>
  <c r="I15" i="3"/>
  <c r="J15" i="3"/>
  <c r="K15" i="3"/>
  <c r="L15" i="3"/>
  <c r="M15" i="3"/>
  <c r="N15" i="3"/>
  <c r="O15" i="3"/>
  <c r="P15" i="3"/>
  <c r="Q15" i="3"/>
  <c r="B16" i="3"/>
  <c r="C16" i="3"/>
  <c r="D16" i="3"/>
  <c r="E16" i="3"/>
  <c r="F16" i="3"/>
  <c r="G16" i="3"/>
  <c r="H16" i="3"/>
  <c r="I16" i="3"/>
  <c r="J16" i="3"/>
  <c r="K16" i="3"/>
  <c r="L16" i="3"/>
  <c r="M16" i="3"/>
  <c r="N16" i="3"/>
  <c r="O16" i="3"/>
  <c r="P16" i="3"/>
  <c r="Q16" i="3"/>
  <c r="B17" i="3"/>
  <c r="C17" i="3"/>
  <c r="D17" i="3"/>
  <c r="E17" i="3"/>
  <c r="F17" i="3"/>
  <c r="G17" i="3"/>
  <c r="H17" i="3"/>
  <c r="I17" i="3"/>
  <c r="J17" i="3"/>
  <c r="K17" i="3"/>
  <c r="L17" i="3"/>
  <c r="M17" i="3"/>
  <c r="N17" i="3"/>
  <c r="O17" i="3"/>
  <c r="P17" i="3"/>
  <c r="Q17" i="3"/>
  <c r="B5" i="3"/>
  <c r="C5" i="3"/>
  <c r="D5" i="3"/>
  <c r="E5" i="3"/>
  <c r="F5" i="3"/>
  <c r="G5" i="3"/>
  <c r="H5" i="3"/>
  <c r="I5" i="3"/>
  <c r="J5" i="3"/>
  <c r="K5" i="3"/>
  <c r="L5" i="3"/>
  <c r="M5" i="3"/>
  <c r="N5" i="3"/>
  <c r="O5" i="3"/>
  <c r="P5" i="3"/>
  <c r="Q5" i="3"/>
  <c r="R5" i="3"/>
  <c r="S5" i="3"/>
  <c r="T5" i="3"/>
  <c r="U5" i="3"/>
  <c r="V5" i="3"/>
  <c r="W5" i="3"/>
  <c r="X5" i="3"/>
  <c r="Y5" i="3"/>
  <c r="Z5" i="3"/>
  <c r="AA5" i="3"/>
  <c r="AB5" i="3"/>
  <c r="AC5" i="3"/>
  <c r="AD5" i="3"/>
  <c r="AE5" i="3"/>
  <c r="AF5" i="3"/>
  <c r="AG5" i="3"/>
  <c r="C4" i="3"/>
  <c r="B4" i="3"/>
  <c r="D4" i="3"/>
  <c r="E4" i="3"/>
  <c r="F4" i="3"/>
  <c r="G4" i="3"/>
  <c r="H4" i="3"/>
  <c r="I4" i="3"/>
  <c r="J4" i="3"/>
  <c r="K4" i="3"/>
  <c r="L4" i="3"/>
  <c r="M4" i="3"/>
  <c r="N4" i="3"/>
  <c r="O4" i="3"/>
  <c r="P4" i="3"/>
  <c r="Q4" i="3"/>
  <c r="G26" i="1" l="1"/>
  <c r="F4" i="6"/>
  <c r="H4" i="6" s="1"/>
  <c r="B4" i="6"/>
  <c r="D4" i="6" s="1"/>
  <c r="J4" i="6"/>
  <c r="L4" i="6" s="1"/>
  <c r="F25" i="1" l="1"/>
  <c r="G29" i="1"/>
  <c r="E25" i="1"/>
  <c r="G22" i="1"/>
  <c r="F24" i="1"/>
  <c r="F5" i="1"/>
  <c r="G21" i="1"/>
  <c r="F26" i="1"/>
  <c r="G25" i="1"/>
  <c r="G30" i="1"/>
  <c r="F23" i="1"/>
  <c r="F30" i="1"/>
  <c r="E30" i="1"/>
  <c r="G28" i="1"/>
  <c r="G19" i="1"/>
  <c r="E26" i="1"/>
  <c r="G24" i="1"/>
  <c r="G27" i="1"/>
  <c r="F27" i="1"/>
  <c r="E29" i="1"/>
  <c r="F29" i="1"/>
  <c r="G18" i="1"/>
  <c r="E28" i="1"/>
  <c r="F28" i="1"/>
  <c r="G23" i="1"/>
  <c r="E23" i="1"/>
  <c r="F22" i="1"/>
  <c r="E24" i="1"/>
  <c r="E22" i="1"/>
  <c r="G14" i="1"/>
  <c r="F21" i="1"/>
  <c r="F15" i="1"/>
  <c r="E19" i="1"/>
  <c r="E21" i="1"/>
  <c r="F20" i="1"/>
  <c r="F19" i="1"/>
  <c r="F6" i="1"/>
  <c r="E20" i="1"/>
  <c r="G20" i="1"/>
  <c r="G9" i="1"/>
  <c r="G12" i="1"/>
  <c r="G16" i="1"/>
  <c r="G7" i="1"/>
  <c r="F10" i="1"/>
  <c r="F7" i="1"/>
  <c r="G15" i="1"/>
  <c r="F9" i="1"/>
  <c r="G13" i="1"/>
  <c r="G17" i="1"/>
  <c r="E10" i="1"/>
  <c r="G5" i="1"/>
  <c r="G6" i="1"/>
  <c r="F17" i="1"/>
  <c r="G10" i="1"/>
  <c r="F3" i="1"/>
  <c r="F18" i="1"/>
  <c r="O32" i="1" s="1"/>
  <c r="E18" i="1"/>
  <c r="E17" i="1"/>
  <c r="F8" i="1"/>
  <c r="G8" i="1"/>
  <c r="E14" i="1"/>
  <c r="E12" i="1"/>
  <c r="F11" i="1"/>
  <c r="E13" i="1"/>
  <c r="G11" i="1"/>
  <c r="F14" i="1"/>
  <c r="F13" i="1"/>
  <c r="F16" i="1"/>
  <c r="E6" i="1"/>
  <c r="E11" i="1"/>
  <c r="E9" i="1"/>
  <c r="F12" i="1"/>
  <c r="E5" i="1"/>
  <c r="E7" i="1"/>
  <c r="E16" i="1"/>
  <c r="E8" i="1"/>
  <c r="E3" i="1"/>
  <c r="G4" i="1"/>
  <c r="G3" i="1"/>
  <c r="N4" i="6"/>
  <c r="F4" i="1"/>
  <c r="E4" i="1"/>
  <c r="H30" i="1" l="1"/>
  <c r="M7" i="1"/>
  <c r="O7" i="1"/>
  <c r="N7" i="1"/>
  <c r="N6" i="1"/>
  <c r="O6" i="1"/>
  <c r="O30" i="1"/>
  <c r="H27" i="1"/>
  <c r="H23" i="1"/>
  <c r="P30" i="1"/>
  <c r="E27" i="1"/>
  <c r="H28" i="1"/>
  <c r="N32" i="1"/>
  <c r="H25" i="1"/>
  <c r="H22" i="1"/>
  <c r="H29" i="1"/>
  <c r="H24" i="1"/>
  <c r="P32" i="1"/>
  <c r="H26" i="1"/>
  <c r="N30" i="1"/>
  <c r="H21" i="1"/>
  <c r="P13" i="1"/>
  <c r="P19" i="1"/>
  <c r="P15" i="1"/>
  <c r="P21" i="1"/>
  <c r="P17" i="1"/>
  <c r="P11" i="1"/>
  <c r="H20" i="1"/>
  <c r="N31" i="1"/>
  <c r="O19" i="1"/>
  <c r="O15" i="1"/>
  <c r="O21" i="1"/>
  <c r="O17" i="1"/>
  <c r="O11" i="1"/>
  <c r="O13" i="1"/>
  <c r="O25" i="1"/>
  <c r="O27" i="1"/>
  <c r="O23" i="1"/>
  <c r="N14" i="1"/>
  <c r="N16" i="1"/>
  <c r="N18" i="1"/>
  <c r="N20" i="1"/>
  <c r="N22" i="1"/>
  <c r="N24" i="1"/>
  <c r="N26" i="1"/>
  <c r="N12" i="1"/>
  <c r="N28" i="1"/>
  <c r="P25" i="1"/>
  <c r="P27" i="1"/>
  <c r="P23" i="1"/>
  <c r="P24" i="1"/>
  <c r="P14" i="1"/>
  <c r="P20" i="1"/>
  <c r="P26" i="1"/>
  <c r="P16" i="1"/>
  <c r="P22" i="1"/>
  <c r="P12" i="1"/>
  <c r="P28" i="1"/>
  <c r="P18" i="1"/>
  <c r="O31" i="1"/>
  <c r="O29" i="1"/>
  <c r="P29" i="1"/>
  <c r="P31" i="1"/>
  <c r="O24" i="1"/>
  <c r="O14" i="1"/>
  <c r="O20" i="1"/>
  <c r="O26" i="1"/>
  <c r="O16" i="1"/>
  <c r="O22" i="1"/>
  <c r="O12" i="1"/>
  <c r="O28" i="1"/>
  <c r="O18" i="1"/>
  <c r="H19" i="1"/>
  <c r="H12" i="1"/>
  <c r="H7" i="1"/>
  <c r="H18" i="1"/>
  <c r="O4" i="1"/>
  <c r="H10" i="1"/>
  <c r="H17" i="1"/>
  <c r="E15" i="1"/>
  <c r="M6" i="1" s="1"/>
  <c r="H11" i="1"/>
  <c r="N3" i="1"/>
  <c r="O3" i="1"/>
  <c r="H5" i="1"/>
  <c r="H6" i="1"/>
  <c r="N4" i="1"/>
  <c r="H14" i="1"/>
  <c r="H16" i="1"/>
  <c r="H13" i="1"/>
  <c r="H3" i="1"/>
  <c r="H8" i="1"/>
  <c r="H9" i="1"/>
  <c r="H15" i="1"/>
  <c r="H4" i="1"/>
  <c r="M4" i="1"/>
  <c r="P6" i="1" l="1"/>
  <c r="P7" i="1"/>
  <c r="M3" i="1"/>
  <c r="Q32" i="1"/>
  <c r="Q30" i="1"/>
  <c r="N11" i="1"/>
  <c r="N13" i="1"/>
  <c r="N21" i="1"/>
  <c r="N19" i="1"/>
  <c r="N29" i="1"/>
  <c r="N17" i="1"/>
  <c r="N15" i="1"/>
  <c r="N23" i="1"/>
  <c r="N25" i="1"/>
  <c r="Q29" i="1"/>
  <c r="Q31" i="1"/>
  <c r="Q25" i="1"/>
  <c r="Q27" i="1"/>
  <c r="Q23" i="1"/>
  <c r="N27" i="1"/>
  <c r="Q18" i="1"/>
  <c r="Q24" i="1"/>
  <c r="Q14" i="1"/>
  <c r="Q20" i="1"/>
  <c r="Q26" i="1"/>
  <c r="Q16" i="1"/>
  <c r="Q22" i="1"/>
  <c r="Q12" i="1"/>
  <c r="Q28" i="1"/>
  <c r="Q13" i="1"/>
  <c r="Q19" i="1"/>
  <c r="Q15" i="1"/>
  <c r="Q21" i="1"/>
  <c r="Q17" i="1"/>
  <c r="Q11" i="1"/>
  <c r="P3" i="1"/>
  <c r="P4" i="1"/>
</calcChain>
</file>

<file path=xl/sharedStrings.xml><?xml version="1.0" encoding="utf-8"?>
<sst xmlns="http://schemas.openxmlformats.org/spreadsheetml/2006/main" count="1633" uniqueCount="100">
  <si>
    <t>TN-Code</t>
  </si>
  <si>
    <t>Condition</t>
  </si>
  <si>
    <t>MSSQ P_A</t>
  </si>
  <si>
    <t>MiSc</t>
  </si>
  <si>
    <t>ΔSSQ-N</t>
  </si>
  <si>
    <t>ΔSSQ-O</t>
  </si>
  <si>
    <t>ΔSSQ-D</t>
  </si>
  <si>
    <t>ΔSSQ-Total</t>
  </si>
  <si>
    <t>ME31A</t>
  </si>
  <si>
    <t>4I9W4</t>
  </si>
  <si>
    <t>5OU3R</t>
  </si>
  <si>
    <t>UY5WK</t>
  </si>
  <si>
    <t>DCNC9</t>
  </si>
  <si>
    <t>TZ4DI</t>
  </si>
  <si>
    <t>34K8Q</t>
  </si>
  <si>
    <t>L3Z7S</t>
  </si>
  <si>
    <t>XFNKY</t>
  </si>
  <si>
    <t>1SMHB</t>
  </si>
  <si>
    <t>06L7T</t>
  </si>
  <si>
    <t>C</t>
  </si>
  <si>
    <t>T</t>
  </si>
  <si>
    <t>kaum / mild</t>
  </si>
  <si>
    <t>gar nicht</t>
  </si>
  <si>
    <t>mäßig</t>
  </si>
  <si>
    <t>SSQ RAW DATA</t>
  </si>
  <si>
    <t>SSQ Metadata</t>
  </si>
  <si>
    <t>SSQ Results</t>
  </si>
  <si>
    <t>(sehr) stark</t>
  </si>
  <si>
    <t>TN-CODE</t>
  </si>
  <si>
    <t>N</t>
  </si>
  <si>
    <t>O</t>
  </si>
  <si>
    <t>D</t>
  </si>
  <si>
    <t>ΔN</t>
  </si>
  <si>
    <t>ΔO</t>
  </si>
  <si>
    <t>ΔD</t>
  </si>
  <si>
    <t>Δ-Total</t>
  </si>
  <si>
    <t>TS</t>
  </si>
  <si>
    <t>NB_RAW</t>
  </si>
  <si>
    <t>NA_RAW</t>
  </si>
  <si>
    <t>NB_W</t>
  </si>
  <si>
    <t>NA_W</t>
  </si>
  <si>
    <t>OB_RAW</t>
  </si>
  <si>
    <t>OA_RAW</t>
  </si>
  <si>
    <t>OB_W</t>
  </si>
  <si>
    <t>OA_W</t>
  </si>
  <si>
    <t>DB_RAW</t>
  </si>
  <si>
    <t>DA_RAW</t>
  </si>
  <si>
    <t>DB_W</t>
  </si>
  <si>
    <t>DA_W</t>
  </si>
  <si>
    <t>TSB_W</t>
  </si>
  <si>
    <t>TSA_W</t>
  </si>
  <si>
    <t>FZW2P</t>
  </si>
  <si>
    <t>9FPX2</t>
  </si>
  <si>
    <t>YU39C</t>
  </si>
  <si>
    <t>CONDITION</t>
  </si>
  <si>
    <t>AVERAGES</t>
  </si>
  <si>
    <t>3VWH2</t>
  </si>
  <si>
    <t>8D2OQ</t>
  </si>
  <si>
    <t>4BL3F</t>
  </si>
  <si>
    <t>G2N0X</t>
  </si>
  <si>
    <t>AM5FH</t>
  </si>
  <si>
    <t>C + MSSQ &gt; 70</t>
  </si>
  <si>
    <t>T + MSSQ &gt; 70</t>
  </si>
  <si>
    <t>Weights</t>
  </si>
  <si>
    <t>Item</t>
  </si>
  <si>
    <t>Value</t>
  </si>
  <si>
    <t>MiSc AVG</t>
  </si>
  <si>
    <t>15KZ9</t>
  </si>
  <si>
    <t>V4XL1</t>
  </si>
  <si>
    <t>X8M4Y</t>
  </si>
  <si>
    <t>MSSQ Perc.</t>
  </si>
  <si>
    <t>IKT2U</t>
  </si>
  <si>
    <t>R71TO</t>
  </si>
  <si>
    <t>B89W1</t>
  </si>
  <si>
    <t>J1Y5H</t>
  </si>
  <si>
    <t>WFQH6</t>
  </si>
  <si>
    <t>Q7RVA</t>
  </si>
  <si>
    <t>O2D7S</t>
  </si>
  <si>
    <t>U50F8</t>
  </si>
  <si>
    <t>VYWK4</t>
  </si>
  <si>
    <t>6S3PJ</t>
  </si>
  <si>
    <t>C2LV9</t>
  </si>
  <si>
    <t>6D0V8</t>
  </si>
  <si>
    <t>KFI73</t>
  </si>
  <si>
    <t>8E4Z6</t>
  </si>
  <si>
    <t>NTSL7</t>
  </si>
  <si>
    <t>70J4N</t>
  </si>
  <si>
    <t>Q85UH</t>
  </si>
  <si>
    <t>JN4H3</t>
  </si>
  <si>
    <t>9I7W0</t>
  </si>
  <si>
    <t>P1Y6Z</t>
  </si>
  <si>
    <t>M0X3A</t>
  </si>
  <si>
    <t>X4N1R</t>
  </si>
  <si>
    <r>
      <t xml:space="preserve">Hier sind die SSQ Metadaten, die zur Berechnung der einzelnen SSQ-Kategorien verwendet werden
(Quelle: https://conservancy.umn.edu/server/api/core/bitstreams/70c8fe0f-c84a-4d0e-80ba-b97822a5cf95/content)
</t>
    </r>
    <r>
      <rPr>
        <b/>
        <sz val="14"/>
        <color rgb="FFFF0000"/>
        <rFont val="Aptos Narrow (Body)"/>
      </rPr>
      <t>Diese Werte sollten nicht verändert werden!</t>
    </r>
    <r>
      <rPr>
        <sz val="14"/>
        <color theme="1"/>
        <rFont val="Aptos Narrow"/>
        <scheme val="minor"/>
      </rPr>
      <t xml:space="preserve"> Falls die englische Version des SSQs verwendet wurde, können die "Item"-Bezeichnungen aber entsprechend angepasst werden.</t>
    </r>
  </si>
  <si>
    <t>#</t>
  </si>
  <si>
    <t>SSQ-BEFORE</t>
  </si>
  <si>
    <t>SSQ-AFTER</t>
  </si>
  <si>
    <t xml:space="preserve">Hier können die Rohdaten der SSQ-Antworten eingefügt werden. Die Anworttexte müssen übereinstimmen mit den Beschriftungen der Metadaten-Tabelle (in "SSQ-Metadata").
Bei der Anwendung des SSQs wird oft mithilfe einer Delta-Berechnung der vorher-nachher-Unterschied dargestellt. In dieser Tabelle können sowohl die vorher-Antworten (unter "SSQ-BEFORE") als auch die nahcher-Antworten ("SSQ-AFTER") eingefügt werden.
Diese Tabelle unterstützt standardmäßig bis zu 100 Antworten. Falls mehr notwendig, muss die Tabelle unten entsprechend erweitert und die Formattierung übertragen werden. </t>
  </si>
  <si>
    <r>
      <rPr>
        <b/>
        <sz val="14"/>
        <color rgb="FFFF0000"/>
        <rFont val="Aptos Narrow (Body)"/>
      </rPr>
      <t xml:space="preserve">Hier nichts verändern! </t>
    </r>
    <r>
      <rPr>
        <sz val="14"/>
        <color theme="1"/>
        <rFont val="Aptos Narrow"/>
        <family val="2"/>
        <scheme val="minor"/>
      </rPr>
      <t xml:space="preserve">
Diese Tabelle wandelt die Antworten unter "SSQ_Raw" in numerische Werte um, die für die weitere Berechnung verwendet werden.</t>
    </r>
  </si>
  <si>
    <r>
      <t xml:space="preserve">Hier werden die Ergebnisse final ausgewertet. Für jede der drei Kategorien (Nausea, Occolomotor, Disorientation) werden Rohwerte (vorher und nachher), sowie gewichtete Werte (vorher und nachher), anhand der entsprechenden Gewichtung in "SSQ Metadata", berechnet. 
Beispiel zum Lesen der Spaltenüberschriften: </t>
    </r>
    <r>
      <rPr>
        <i/>
        <sz val="14"/>
        <color theme="1"/>
        <rFont val="Aptos Narrow (Body)"/>
      </rPr>
      <t>NB_RAW=Nausea,Before_Rohwert; NA_RAW=Nausea,After_Rohwert; NB_W=Nausea,Before_Weighted; NA_W=Nausea,After_Weighted</t>
    </r>
    <r>
      <rPr>
        <sz val="14"/>
        <color theme="1"/>
        <rFont val="Aptos Narrow"/>
        <family val="2"/>
        <scheme val="minor"/>
      </rPr>
      <t xml:space="preserve"> (weitere Tabellenüberschriften analog dazu für die Kategorien Occolomotor, Disorientation, Total Score).
Falls kein vorher-nachher Bild erstellt werden soll und nur </t>
    </r>
    <r>
      <rPr>
        <u/>
        <sz val="14"/>
        <color theme="1"/>
        <rFont val="Aptos Narrow (Body)"/>
      </rPr>
      <t>eine</t>
    </r>
    <r>
      <rPr>
        <sz val="14"/>
        <color theme="1"/>
        <rFont val="Aptos Narrow"/>
        <family val="2"/>
        <scheme val="minor"/>
      </rPr>
      <t xml:space="preserve"> Erhebung des SSQs stattfand, bleiben die Nachher- und Delta-Spalten leer. Dann sind nur die Spalten NB_W, OB_W, DB_W und TSB_W relevant.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</si>
</sst>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x14ac:knownFonts="1">
    <font>
      <sz val="12"/>
      <color theme="1"/>
      <name val="Aptos Narrow"/>
      <family val="2"/>
      <scheme val="minor"/>
    </font>
    <font>
      <b/>
      <sz val="14"/>
      <color theme="1"/>
      <name val="Aptos Narrow"/>
      <scheme val="minor"/>
    </font>
    <font>
      <b/>
      <sz val="16"/>
      <color theme="1"/>
      <name val="Aptos Narrow"/>
      <scheme val="minor"/>
    </font>
    <font>
      <sz val="14"/>
      <color theme="1"/>
      <name val="Aptos Narrow"/>
      <family val="2"/>
      <scheme val="minor"/>
    </font>
    <font>
      <sz val="10"/>
      <color theme="1"/>
      <name val="Aptos Narrow"/>
      <family val="2"/>
      <scheme val="minor"/>
    </font>
    <font>
      <b/>
      <sz val="20"/>
      <color theme="1"/>
      <name val="Aptos Narrow"/>
      <scheme val="minor"/>
    </font>
    <font>
      <b/>
      <sz val="12"/>
      <color rgb="FF000000"/>
      <name val="Aptos Narrow"/>
      <scheme val="minor"/>
    </font>
    <font>
      <sz val="12"/>
      <color rgb="FF000000"/>
      <name val="Aptos Narrow"/>
      <family val="2"/>
      <scheme val="minor"/>
    </font>
    <font>
      <b/>
      <sz val="18"/>
      <color theme="1"/>
      <name val="Aptos Narrow"/>
      <scheme val="minor"/>
    </font>
    <font>
      <sz val="15"/>
      <color theme="1"/>
      <name val="Arial"/>
      <family val="2"/>
    </font>
    <font>
      <sz val="15"/>
      <color rgb="FF000000"/>
      <name val="Arial"/>
      <family val="2"/>
    </font>
    <font>
      <b/>
      <sz val="12"/>
      <color theme="1"/>
      <name val="Aptos Narrow"/>
      <family val="2"/>
      <scheme val="minor"/>
    </font>
    <font>
      <sz val="14"/>
      <color theme="1"/>
      <name val="Aptos Narrow"/>
      <scheme val="minor"/>
    </font>
    <font>
      <b/>
      <sz val="12"/>
      <color theme="1"/>
      <name val="Aptos Narrow"/>
      <scheme val="minor"/>
    </font>
    <font>
      <b/>
      <sz val="14"/>
      <color rgb="FFFF0000"/>
      <name val="Aptos Narrow (Body)"/>
    </font>
    <font>
      <sz val="14"/>
      <color theme="1"/>
      <name val="Aptos Narrow (Body)"/>
    </font>
    <font>
      <i/>
      <sz val="14"/>
      <color theme="1"/>
      <name val="Aptos Narrow (Body)"/>
    </font>
    <font>
      <u/>
      <sz val="14"/>
      <color theme="1"/>
      <name val="Aptos Narrow (Body)"/>
    </font>
  </fonts>
  <fills count="10">
    <fill>
      <patternFill patternType="none"/>
    </fill>
    <fill>
      <patternFill patternType="gray125"/>
    </fill>
    <fill>
      <patternFill patternType="solid">
        <fgColor rgb="FFD9D9D9"/>
        <bgColor rgb="FF000000"/>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0" tint="-4.9989318521683403E-2"/>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s>
  <cellStyleXfs count="1">
    <xf numFmtId="0" fontId="0" fillId="0" borderId="0"/>
  </cellStyleXfs>
  <cellXfs count="119">
    <xf numFmtId="0" fontId="0" fillId="0" borderId="0" xfId="0"/>
    <xf numFmtId="0" fontId="2" fillId="0" borderId="0" xfId="0" applyFont="1" applyAlignment="1">
      <alignment horizontal="center"/>
    </xf>
    <xf numFmtId="0" fontId="3" fillId="0" borderId="0" xfId="0" applyFont="1"/>
    <xf numFmtId="0" fontId="4" fillId="0" borderId="0" xfId="0" applyFont="1"/>
    <xf numFmtId="0" fontId="3" fillId="0" borderId="0" xfId="0" applyFont="1" applyAlignment="1">
      <alignment horizontal="center"/>
    </xf>
    <xf numFmtId="0" fontId="5" fillId="0" borderId="0" xfId="0" applyFont="1"/>
    <xf numFmtId="0" fontId="6" fillId="2" borderId="1" xfId="0" applyFont="1" applyFill="1" applyBorder="1"/>
    <xf numFmtId="0" fontId="6" fillId="2" borderId="3" xfId="0" applyFont="1" applyFill="1" applyBorder="1"/>
    <xf numFmtId="0" fontId="7" fillId="0" borderId="4" xfId="0" applyFont="1" applyBorder="1"/>
    <xf numFmtId="0" fontId="0" fillId="0" borderId="5" xfId="0" applyBorder="1"/>
    <xf numFmtId="0" fontId="7" fillId="0" borderId="5" xfId="0" applyFont="1" applyBorder="1"/>
    <xf numFmtId="0" fontId="7" fillId="0" borderId="6" xfId="0" applyFont="1" applyBorder="1"/>
    <xf numFmtId="0" fontId="0" fillId="0" borderId="7" xfId="0" applyBorder="1"/>
    <xf numFmtId="0" fontId="7" fillId="0" borderId="7" xfId="0" applyFont="1" applyBorder="1"/>
    <xf numFmtId="0" fontId="8" fillId="0" borderId="0" xfId="0" applyFont="1"/>
    <xf numFmtId="0" fontId="0" fillId="6" borderId="4" xfId="0" applyFill="1" applyBorder="1"/>
    <xf numFmtId="0" fontId="0" fillId="7" borderId="4" xfId="0" applyFill="1" applyBorder="1"/>
    <xf numFmtId="0" fontId="0" fillId="7" borderId="5" xfId="0" applyFill="1" applyBorder="1"/>
    <xf numFmtId="0" fontId="0" fillId="5" borderId="4" xfId="0" applyFill="1" applyBorder="1"/>
    <xf numFmtId="0" fontId="0" fillId="5" borderId="5" xfId="0" applyFill="1" applyBorder="1"/>
    <xf numFmtId="0" fontId="0" fillId="4" borderId="4" xfId="0" applyFill="1" applyBorder="1"/>
    <xf numFmtId="0" fontId="0" fillId="4" borderId="5" xfId="0" applyFill="1" applyBorder="1"/>
    <xf numFmtId="0" fontId="0" fillId="3" borderId="5" xfId="0" applyFill="1" applyBorder="1"/>
    <xf numFmtId="0" fontId="1" fillId="7" borderId="8" xfId="0" applyFont="1" applyFill="1" applyBorder="1" applyAlignment="1">
      <alignment horizontal="center"/>
    </xf>
    <xf numFmtId="0" fontId="9"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4" xfId="0" applyBorder="1"/>
    <xf numFmtId="0" fontId="0" fillId="0" borderId="6" xfId="0" applyBorder="1"/>
    <xf numFmtId="0" fontId="0" fillId="0" borderId="10" xfId="0" applyBorder="1"/>
    <xf numFmtId="164" fontId="0" fillId="0" borderId="0" xfId="0" applyNumberFormat="1"/>
    <xf numFmtId="0" fontId="10" fillId="0" borderId="0" xfId="0" applyFont="1"/>
    <xf numFmtId="164" fontId="0" fillId="0" borderId="5" xfId="0" applyNumberFormat="1" applyBorder="1"/>
    <xf numFmtId="164" fontId="0" fillId="0" borderId="10" xfId="0" applyNumberFormat="1" applyBorder="1"/>
    <xf numFmtId="164" fontId="0" fillId="0" borderId="7" xfId="0" applyNumberFormat="1" applyBorder="1"/>
    <xf numFmtId="0" fontId="3" fillId="8" borderId="0" xfId="0" applyFont="1" applyFill="1"/>
    <xf numFmtId="0" fontId="0" fillId="8" borderId="0" xfId="0" applyFill="1"/>
    <xf numFmtId="0" fontId="1" fillId="0" borderId="0" xfId="0" applyFont="1" applyAlignment="1">
      <alignment horizontal="center"/>
    </xf>
    <xf numFmtId="0" fontId="6" fillId="2" borderId="1" xfId="0" applyFont="1" applyFill="1" applyBorder="1" applyAlignment="1">
      <alignment horizontal="center"/>
    </xf>
    <xf numFmtId="0" fontId="6" fillId="2" borderId="3" xfId="0" applyFont="1" applyFill="1" applyBorder="1" applyAlignment="1">
      <alignment horizontal="center"/>
    </xf>
    <xf numFmtId="0" fontId="12" fillId="0" borderId="0" xfId="0" applyFont="1" applyAlignment="1">
      <alignment horizontal="left" vertical="top" wrapText="1"/>
    </xf>
    <xf numFmtId="0" fontId="15" fillId="0" borderId="0" xfId="0" applyFont="1" applyAlignment="1">
      <alignment horizontal="left" vertical="top" wrapText="1"/>
    </xf>
    <xf numFmtId="0" fontId="11" fillId="0" borderId="0" xfId="0" applyFont="1"/>
    <xf numFmtId="0" fontId="0" fillId="0" borderId="3" xfId="0" applyBorder="1"/>
    <xf numFmtId="0" fontId="0" fillId="0" borderId="0" xfId="0" applyBorder="1"/>
    <xf numFmtId="22" fontId="0" fillId="0" borderId="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 fillId="9" borderId="8" xfId="0" applyFont="1" applyFill="1" applyBorder="1" applyAlignment="1">
      <alignment horizontal="center" vertical="center"/>
    </xf>
    <xf numFmtId="0" fontId="1" fillId="9" borderId="8" xfId="0" applyFont="1" applyFill="1" applyBorder="1" applyAlignment="1">
      <alignment horizontal="center" vertical="center"/>
    </xf>
    <xf numFmtId="0" fontId="11" fillId="9" borderId="19" xfId="0" applyFont="1" applyFill="1" applyBorder="1"/>
    <xf numFmtId="0" fontId="11" fillId="9" borderId="9" xfId="0" applyFont="1" applyFill="1" applyBorder="1"/>
    <xf numFmtId="0" fontId="11" fillId="9" borderId="20" xfId="0" applyFont="1" applyFill="1" applyBorder="1"/>
    <xf numFmtId="0" fontId="0" fillId="0" borderId="21" xfId="0" applyBorder="1"/>
    <xf numFmtId="0" fontId="0" fillId="9" borderId="8" xfId="0" applyFill="1" applyBorder="1"/>
    <xf numFmtId="0" fontId="2" fillId="9" borderId="1" xfId="0" applyFont="1" applyFill="1" applyBorder="1" applyAlignment="1">
      <alignment horizontal="center"/>
    </xf>
    <xf numFmtId="0" fontId="2" fillId="9" borderId="2" xfId="0" applyFont="1" applyFill="1" applyBorder="1" applyAlignment="1">
      <alignment horizontal="center"/>
    </xf>
    <xf numFmtId="0" fontId="13" fillId="0" borderId="1" xfId="0" applyFont="1" applyBorder="1"/>
    <xf numFmtId="0" fontId="13" fillId="0" borderId="4" xfId="0" applyFont="1" applyBorder="1"/>
    <xf numFmtId="0" fontId="13" fillId="0" borderId="6" xfId="0" applyFont="1" applyBorder="1"/>
    <xf numFmtId="0" fontId="2" fillId="9" borderId="3" xfId="0" applyFont="1" applyFill="1" applyBorder="1" applyAlignment="1">
      <alignment horizontal="center"/>
    </xf>
    <xf numFmtId="0" fontId="3" fillId="0" borderId="10" xfId="0" applyFont="1" applyBorder="1" applyAlignment="1">
      <alignment horizontal="left" vertical="top"/>
    </xf>
    <xf numFmtId="0" fontId="3" fillId="0" borderId="10" xfId="0" applyFont="1" applyBorder="1" applyAlignment="1">
      <alignment horizontal="left" vertical="top" wrapText="1"/>
    </xf>
    <xf numFmtId="0" fontId="13" fillId="7" borderId="4" xfId="0" applyFont="1" applyFill="1" applyBorder="1"/>
    <xf numFmtId="0" fontId="1" fillId="3" borderId="1" xfId="0" applyFont="1" applyFill="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5" borderId="1"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7" borderId="1" xfId="0" applyFont="1" applyFill="1" applyBorder="1" applyAlignment="1">
      <alignment horizontal="center"/>
    </xf>
    <xf numFmtId="0" fontId="1" fillId="7" borderId="3" xfId="0" applyFont="1" applyFill="1" applyBorder="1" applyAlignment="1">
      <alignment horizontal="center"/>
    </xf>
    <xf numFmtId="0" fontId="1" fillId="6" borderId="1" xfId="0" applyFont="1" applyFill="1" applyBorder="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xf numFmtId="0" fontId="0" fillId="3" borderId="11" xfId="0" applyFill="1" applyBorder="1"/>
    <xf numFmtId="0" fontId="0" fillId="3" borderId="12" xfId="0" applyFill="1" applyBorder="1"/>
    <xf numFmtId="0" fontId="0" fillId="3" borderId="22" xfId="0" applyFill="1" applyBorder="1"/>
    <xf numFmtId="0" fontId="0" fillId="4" borderId="23" xfId="0" applyFill="1" applyBorder="1"/>
    <xf numFmtId="0" fontId="0" fillId="4" borderId="12" xfId="0" applyFill="1" applyBorder="1"/>
    <xf numFmtId="0" fontId="0" fillId="4" borderId="22" xfId="0" applyFill="1" applyBorder="1"/>
    <xf numFmtId="0" fontId="0" fillId="5" borderId="23" xfId="0" applyFill="1" applyBorder="1"/>
    <xf numFmtId="0" fontId="0" fillId="5" borderId="12" xfId="0" applyFill="1" applyBorder="1"/>
    <xf numFmtId="0" fontId="0" fillId="5" borderId="22" xfId="0" applyFill="1" applyBorder="1"/>
    <xf numFmtId="0" fontId="0" fillId="7" borderId="23" xfId="0" applyFill="1" applyBorder="1"/>
    <xf numFmtId="0" fontId="0" fillId="7" borderId="22" xfId="0" applyFill="1" applyBorder="1"/>
    <xf numFmtId="0" fontId="0" fillId="6" borderId="23" xfId="0" applyFill="1" applyBorder="1"/>
    <xf numFmtId="0" fontId="0" fillId="6" borderId="12" xfId="0" applyFill="1" applyBorder="1"/>
    <xf numFmtId="0" fontId="0" fillId="6" borderId="13" xfId="0" applyFill="1" applyBorder="1"/>
    <xf numFmtId="0" fontId="0" fillId="3" borderId="14" xfId="0" applyFill="1" applyBorder="1"/>
    <xf numFmtId="0" fontId="0" fillId="3" borderId="0" xfId="0" applyFill="1" applyBorder="1"/>
    <xf numFmtId="0" fontId="0" fillId="4" borderId="0" xfId="0" applyFill="1" applyBorder="1"/>
    <xf numFmtId="0" fontId="0" fillId="5" borderId="0" xfId="0" applyFill="1" applyBorder="1"/>
    <xf numFmtId="0" fontId="0" fillId="6" borderId="0" xfId="0" applyFill="1" applyBorder="1"/>
    <xf numFmtId="0" fontId="0" fillId="6" borderId="15" xfId="0" applyFill="1" applyBorder="1"/>
    <xf numFmtId="0" fontId="0" fillId="3" borderId="16" xfId="0" applyFill="1" applyBorder="1"/>
    <xf numFmtId="0" fontId="0" fillId="3" borderId="17" xfId="0" applyFill="1" applyBorder="1"/>
    <xf numFmtId="0" fontId="0" fillId="3" borderId="21" xfId="0" applyFill="1" applyBorder="1"/>
    <xf numFmtId="0" fontId="0" fillId="4" borderId="24" xfId="0" applyFill="1" applyBorder="1"/>
    <xf numFmtId="0" fontId="0" fillId="4" borderId="17" xfId="0" applyFill="1" applyBorder="1"/>
    <xf numFmtId="0" fontId="0" fillId="4" borderId="21" xfId="0" applyFill="1" applyBorder="1"/>
    <xf numFmtId="0" fontId="0" fillId="5" borderId="24" xfId="0" applyFill="1" applyBorder="1"/>
    <xf numFmtId="0" fontId="0" fillId="5" borderId="17" xfId="0" applyFill="1" applyBorder="1"/>
    <xf numFmtId="0" fontId="0" fillId="5" borderId="21" xfId="0" applyFill="1" applyBorder="1"/>
    <xf numFmtId="0" fontId="0" fillId="7" borderId="24" xfId="0" applyFill="1" applyBorder="1"/>
    <xf numFmtId="0" fontId="0" fillId="7" borderId="21" xfId="0" applyFill="1" applyBorder="1"/>
    <xf numFmtId="0" fontId="0" fillId="6" borderId="24" xfId="0" applyFill="1" applyBorder="1"/>
    <xf numFmtId="0" fontId="0" fillId="6" borderId="17" xfId="0" applyFill="1" applyBorder="1"/>
    <xf numFmtId="0" fontId="0" fillId="6" borderId="18"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07B9D-2FD2-F449-8D68-C01883F7025C}">
  <dimension ref="A1:Q51"/>
  <sheetViews>
    <sheetView workbookViewId="0">
      <selection activeCell="H18" sqref="H18"/>
    </sheetView>
  </sheetViews>
  <sheetFormatPr baseColWidth="10" defaultRowHeight="16" x14ac:dyDescent="0.2"/>
  <cols>
    <col min="1" max="1" width="13.1640625" customWidth="1"/>
    <col min="2" max="2" width="16.5" customWidth="1"/>
    <col min="3" max="3" width="16.1640625" customWidth="1"/>
    <col min="5" max="5" width="13.6640625" customWidth="1"/>
    <col min="6" max="6" width="13.33203125" customWidth="1"/>
    <col min="7" max="7" width="13.6640625" customWidth="1"/>
    <col min="8" max="8" width="15.83203125" customWidth="1"/>
    <col min="11" max="11" width="15" customWidth="1"/>
    <col min="12" max="12" width="13.33203125" customWidth="1"/>
    <col min="13" max="13" width="15" customWidth="1"/>
    <col min="14" max="14" width="12.33203125" bestFit="1" customWidth="1"/>
    <col min="15" max="16" width="11.83203125" bestFit="1" customWidth="1"/>
    <col min="17" max="17" width="15.33203125" customWidth="1"/>
  </cols>
  <sheetData>
    <row r="1" spans="1:17" ht="19" x14ac:dyDescent="0.25">
      <c r="K1" s="38" t="s">
        <v>55</v>
      </c>
      <c r="L1" s="38"/>
      <c r="M1" s="38"/>
      <c r="N1" s="38"/>
      <c r="O1" s="38"/>
      <c r="P1" s="38"/>
      <c r="Q1" s="38"/>
    </row>
    <row r="2" spans="1:17" ht="22" x14ac:dyDescent="0.3">
      <c r="A2" s="1" t="s">
        <v>0</v>
      </c>
      <c r="B2" s="1" t="s">
        <v>1</v>
      </c>
      <c r="C2" s="1" t="s">
        <v>2</v>
      </c>
      <c r="D2" s="1" t="s">
        <v>3</v>
      </c>
      <c r="E2" s="1" t="s">
        <v>4</v>
      </c>
      <c r="F2" s="1" t="s">
        <v>5</v>
      </c>
      <c r="G2" s="1" t="s">
        <v>6</v>
      </c>
      <c r="H2" s="1" t="s">
        <v>7</v>
      </c>
      <c r="K2" s="1" t="s">
        <v>54</v>
      </c>
      <c r="L2" s="1" t="s">
        <v>66</v>
      </c>
      <c r="M2" s="1" t="s">
        <v>4</v>
      </c>
      <c r="N2" s="1" t="s">
        <v>5</v>
      </c>
      <c r="O2" s="1" t="s">
        <v>6</v>
      </c>
      <c r="P2" s="1" t="s">
        <v>7</v>
      </c>
    </row>
    <row r="3" spans="1:17" ht="20" x14ac:dyDescent="0.25">
      <c r="A3" s="24" t="s">
        <v>9</v>
      </c>
      <c r="B3" s="4" t="s">
        <v>19</v>
      </c>
      <c r="C3" s="4">
        <v>50</v>
      </c>
      <c r="D3" s="36">
        <v>1</v>
      </c>
      <c r="E3" s="2">
        <f>SSQ_Results!P4</f>
        <v>28.619999999999997</v>
      </c>
      <c r="F3" s="2">
        <f>SSQ_Results!Q4</f>
        <v>15.16</v>
      </c>
      <c r="G3" s="2">
        <f>SSQ_Results!R4</f>
        <v>0</v>
      </c>
      <c r="H3" s="2">
        <f>SSQ_Results!S4</f>
        <v>18.700000000000003</v>
      </c>
      <c r="K3" t="s">
        <v>19</v>
      </c>
      <c r="L3" s="31">
        <f t="shared" ref="L3:P4" si="0">AVERAGEIF($B:$B, $K3, D:D)</f>
        <v>2.9090909090909092</v>
      </c>
      <c r="M3" s="31">
        <f t="shared" si="0"/>
        <v>18.646363636363638</v>
      </c>
      <c r="N3" s="31">
        <f t="shared" si="0"/>
        <v>23.084545454545456</v>
      </c>
      <c r="O3" s="31">
        <f t="shared" si="0"/>
        <v>34.799999999999997</v>
      </c>
      <c r="P3" s="31">
        <f t="shared" si="0"/>
        <v>28.05</v>
      </c>
    </row>
    <row r="4" spans="1:17" ht="20" x14ac:dyDescent="0.25">
      <c r="A4" s="24" t="s">
        <v>8</v>
      </c>
      <c r="B4" s="4" t="s">
        <v>19</v>
      </c>
      <c r="C4" s="4">
        <v>80</v>
      </c>
      <c r="D4" s="36">
        <v>6</v>
      </c>
      <c r="E4" s="2">
        <f>SSQ_Results!P5</f>
        <v>47.699999999999996</v>
      </c>
      <c r="F4" s="2">
        <f>SSQ_Results!Q5</f>
        <v>113.7</v>
      </c>
      <c r="G4" s="2">
        <f>SSQ_Results!R5</f>
        <v>153.12</v>
      </c>
      <c r="H4" s="2">
        <f>SSQ_Results!S5</f>
        <v>115.94000000000001</v>
      </c>
      <c r="K4" t="s">
        <v>20</v>
      </c>
      <c r="L4" s="31">
        <f t="shared" si="0"/>
        <v>1.5454545454545454</v>
      </c>
      <c r="M4" s="31">
        <f t="shared" si="0"/>
        <v>6.504545454545454</v>
      </c>
      <c r="N4" s="31">
        <f t="shared" si="0"/>
        <v>19.63909090909091</v>
      </c>
      <c r="O4" s="31">
        <f t="shared" si="0"/>
        <v>29.105454545454549</v>
      </c>
      <c r="P4" s="31">
        <f t="shared" si="0"/>
        <v>20.060000000000006</v>
      </c>
    </row>
    <row r="5" spans="1:17" ht="20" x14ac:dyDescent="0.25">
      <c r="A5" s="24" t="s">
        <v>11</v>
      </c>
      <c r="B5" s="4" t="s">
        <v>19</v>
      </c>
      <c r="C5" s="4">
        <v>50</v>
      </c>
      <c r="D5" s="36">
        <v>1</v>
      </c>
      <c r="E5" s="2">
        <f>SSQ_Results!P6</f>
        <v>9.5399999999999991</v>
      </c>
      <c r="F5" s="2">
        <f>SSQ_Results!Q6</f>
        <v>15.160000000000002</v>
      </c>
      <c r="G5" s="2">
        <f>SSQ_Results!R6</f>
        <v>13.92</v>
      </c>
      <c r="H5" s="2">
        <f>SSQ_Results!S6</f>
        <v>14.960000000000003</v>
      </c>
      <c r="L5" s="31"/>
      <c r="M5" s="31"/>
      <c r="N5" s="31"/>
      <c r="O5" s="31"/>
      <c r="P5" s="31"/>
    </row>
    <row r="6" spans="1:17" ht="20" x14ac:dyDescent="0.25">
      <c r="A6" s="24" t="s">
        <v>16</v>
      </c>
      <c r="B6" s="4" t="s">
        <v>19</v>
      </c>
      <c r="C6" s="4">
        <v>95</v>
      </c>
      <c r="D6" s="36">
        <v>6</v>
      </c>
      <c r="E6" s="2">
        <f>SSQ_Results!P7</f>
        <v>38.159999999999997</v>
      </c>
      <c r="F6" s="2">
        <f>SSQ_Results!Q7</f>
        <v>22.740000000000002</v>
      </c>
      <c r="G6" s="2">
        <f>SSQ_Results!R7</f>
        <v>41.76</v>
      </c>
      <c r="H6" s="2">
        <f>SSQ_Results!S7</f>
        <v>37.400000000000006</v>
      </c>
      <c r="K6" t="s">
        <v>61</v>
      </c>
      <c r="L6" s="31">
        <f>AVERAGEIFS(D:D,$B:$B,"C",$C:$C,"&gt;=70")</f>
        <v>3.8461538461538463</v>
      </c>
      <c r="M6" s="31">
        <f>AVERAGEIFS(E:E,$B:$B,"C",$C:$C,"&gt;=70")</f>
        <v>27.886153846153846</v>
      </c>
      <c r="N6" s="31">
        <f t="shared" ref="N6:P6" si="1">AVERAGEIFS(F:F,$B:$B,"C",$C:$C,"&gt;=70")</f>
        <v>30.903076923076924</v>
      </c>
      <c r="O6" s="31">
        <f t="shared" si="1"/>
        <v>48.184615384615384</v>
      </c>
      <c r="P6" s="31">
        <f t="shared" si="1"/>
        <v>39.126153846153855</v>
      </c>
    </row>
    <row r="7" spans="1:17" ht="20" x14ac:dyDescent="0.25">
      <c r="A7" s="24" t="s">
        <v>12</v>
      </c>
      <c r="B7" s="4" t="s">
        <v>19</v>
      </c>
      <c r="C7" s="4">
        <v>0</v>
      </c>
      <c r="D7" s="36">
        <v>1</v>
      </c>
      <c r="E7" s="2">
        <f>SSQ_Results!P8</f>
        <v>-9.5399999999999991</v>
      </c>
      <c r="F7" s="2">
        <f>SSQ_Results!Q8</f>
        <v>-15.159999999999997</v>
      </c>
      <c r="G7" s="2">
        <f>SSQ_Results!R8</f>
        <v>27.84</v>
      </c>
      <c r="H7" s="2">
        <f>SSQ_Results!S8</f>
        <v>-3.7399999999999984</v>
      </c>
      <c r="K7" t="s">
        <v>62</v>
      </c>
      <c r="L7" s="31">
        <f>AVERAGEIFS(D:D,$B:$B,"T",$C:$C,"&gt;=70")</f>
        <v>2.3333333333333335</v>
      </c>
      <c r="M7" s="31">
        <f>AVERAGEIFS(E:E,$B:$B,"T",$C:$C,"&gt;=70")</f>
        <v>6.3600000000000021</v>
      </c>
      <c r="N7" s="31">
        <f t="shared" ref="N7:P7" si="2">AVERAGEIFS(F:F,$B:$B,"T",$C:$C,"&gt;=70")</f>
        <v>24.635000000000005</v>
      </c>
      <c r="O7" s="31">
        <f t="shared" si="2"/>
        <v>33.64</v>
      </c>
      <c r="P7" s="31">
        <f t="shared" si="2"/>
        <v>23.686666666666664</v>
      </c>
    </row>
    <row r="8" spans="1:17" ht="20" x14ac:dyDescent="0.25">
      <c r="A8" s="24" t="s">
        <v>13</v>
      </c>
      <c r="B8" s="4" t="s">
        <v>20</v>
      </c>
      <c r="C8" s="4">
        <v>80</v>
      </c>
      <c r="D8" s="36">
        <v>1</v>
      </c>
      <c r="E8" s="2">
        <f>SSQ_Results!P9</f>
        <v>-19.079999999999998</v>
      </c>
      <c r="F8" s="2">
        <f>SSQ_Results!Q9</f>
        <v>22.739999999999995</v>
      </c>
      <c r="G8" s="2">
        <f>SSQ_Results!R9</f>
        <v>41.76</v>
      </c>
      <c r="H8" s="2">
        <f>SSQ_Results!S9</f>
        <v>14.960000000000008</v>
      </c>
    </row>
    <row r="9" spans="1:17" ht="20" x14ac:dyDescent="0.25">
      <c r="A9" s="24" t="s">
        <v>17</v>
      </c>
      <c r="B9" s="4" t="s">
        <v>19</v>
      </c>
      <c r="C9" s="4">
        <v>60</v>
      </c>
      <c r="D9" s="36">
        <v>1</v>
      </c>
      <c r="E9" s="2">
        <f>SSQ_Results!P10</f>
        <v>9.5399999999999991</v>
      </c>
      <c r="F9" s="2">
        <f>SSQ_Results!Q10</f>
        <v>22.740000000000002</v>
      </c>
      <c r="G9" s="2">
        <f>SSQ_Results!R10</f>
        <v>55.679999999999993</v>
      </c>
      <c r="H9" s="2">
        <f>SSQ_Results!S10</f>
        <v>29.92</v>
      </c>
    </row>
    <row r="10" spans="1:17" ht="22" x14ac:dyDescent="0.3">
      <c r="A10" s="24" t="s">
        <v>14</v>
      </c>
      <c r="B10" s="4" t="s">
        <v>20</v>
      </c>
      <c r="C10" s="4">
        <v>50</v>
      </c>
      <c r="D10" s="36">
        <v>1</v>
      </c>
      <c r="E10" s="2">
        <f>SSQ_Results!P11</f>
        <v>9.5399999999999991</v>
      </c>
      <c r="F10" s="2">
        <f>SSQ_Results!Q11</f>
        <v>22.740000000000002</v>
      </c>
      <c r="G10" s="2">
        <f>SSQ_Results!R11</f>
        <v>13.92</v>
      </c>
      <c r="H10" s="2">
        <f>SSQ_Results!S11</f>
        <v>18.700000000000003</v>
      </c>
      <c r="K10" s="25" t="s">
        <v>54</v>
      </c>
      <c r="L10" s="26" t="s">
        <v>70</v>
      </c>
      <c r="M10" s="26" t="s">
        <v>66</v>
      </c>
      <c r="N10" s="26" t="s">
        <v>4</v>
      </c>
      <c r="O10" s="26" t="s">
        <v>5</v>
      </c>
      <c r="P10" s="26" t="s">
        <v>6</v>
      </c>
      <c r="Q10" s="27" t="s">
        <v>7</v>
      </c>
    </row>
    <row r="11" spans="1:17" ht="20" x14ac:dyDescent="0.25">
      <c r="A11" s="24" t="s">
        <v>10</v>
      </c>
      <c r="B11" s="4" t="s">
        <v>20</v>
      </c>
      <c r="C11" s="4">
        <v>90</v>
      </c>
      <c r="D11" s="36">
        <v>6</v>
      </c>
      <c r="E11" s="2">
        <f>SSQ_Results!P12</f>
        <v>57.239999999999995</v>
      </c>
      <c r="F11" s="2">
        <f>SSQ_Results!Q12</f>
        <v>136.44</v>
      </c>
      <c r="G11" s="2">
        <f>SSQ_Results!R12</f>
        <v>153.12</v>
      </c>
      <c r="H11" s="2">
        <f>SSQ_Results!S12</f>
        <v>130.9</v>
      </c>
      <c r="K11" s="28" t="s">
        <v>19</v>
      </c>
      <c r="L11">
        <v>0</v>
      </c>
      <c r="M11" s="31">
        <f>AVERAGEIFS(D:D,$B:$B,$K11,$C:$C,"&gt;=" &amp; $L11)</f>
        <v>2.9090909090909092</v>
      </c>
      <c r="N11" s="31">
        <f>AVERAGEIFS(E:E,$B:$B,$K11,$C:$C,"&gt;=" &amp; $L11)</f>
        <v>18.646363636363638</v>
      </c>
      <c r="O11" s="31">
        <f t="shared" ref="O11:Q11" si="3">AVERAGEIFS(F:F,$B:$B,$K11,$C:$C,"&gt;=" &amp; $L11)</f>
        <v>23.084545454545456</v>
      </c>
      <c r="P11" s="31">
        <f t="shared" si="3"/>
        <v>34.799999999999997</v>
      </c>
      <c r="Q11" s="33">
        <f t="shared" si="3"/>
        <v>28.05</v>
      </c>
    </row>
    <row r="12" spans="1:17" ht="20" x14ac:dyDescent="0.25">
      <c r="A12" s="24" t="s">
        <v>18</v>
      </c>
      <c r="B12" s="4" t="s">
        <v>20</v>
      </c>
      <c r="C12" s="4">
        <v>20</v>
      </c>
      <c r="D12" s="36">
        <v>0</v>
      </c>
      <c r="E12" s="2">
        <f>SSQ_Results!P13</f>
        <v>9.5399999999999991</v>
      </c>
      <c r="F12" s="2">
        <f>SSQ_Results!Q13</f>
        <v>7.58</v>
      </c>
      <c r="G12" s="2">
        <f>SSQ_Results!R13</f>
        <v>13.92</v>
      </c>
      <c r="H12" s="2">
        <f>SSQ_Results!S13</f>
        <v>11.22</v>
      </c>
      <c r="K12" s="28" t="s">
        <v>20</v>
      </c>
      <c r="L12">
        <v>0</v>
      </c>
      <c r="M12" s="31">
        <f t="shared" ref="M12:M32" si="4">AVERAGEIFS(D:D,$B:$B,$K12,$C:$C,"&gt;=" &amp; $L12)</f>
        <v>1.5454545454545454</v>
      </c>
      <c r="N12" s="31">
        <f t="shared" ref="N12:N32" si="5">AVERAGEIFS(E:E,$B:$B,$K12,$C:$C,"&gt;=" &amp; $L12)</f>
        <v>6.504545454545454</v>
      </c>
      <c r="O12" s="31">
        <f t="shared" ref="O12:O32" si="6">AVERAGEIFS(F:F,$B:$B,$K12,$C:$C,"&gt;=" &amp; $L12)</f>
        <v>19.63909090909091</v>
      </c>
      <c r="P12" s="31">
        <f t="shared" ref="P12:P32" si="7">AVERAGEIFS(G:G,$B:$B,$K12,$C:$C,"&gt;=" &amp; $L12)</f>
        <v>29.105454545454549</v>
      </c>
      <c r="Q12" s="33">
        <f t="shared" ref="Q12:Q32" si="8">AVERAGEIFS(H:H,$B:$B,$K12,$C:$C,"&gt;=" &amp; $L12)</f>
        <v>20.060000000000006</v>
      </c>
    </row>
    <row r="13" spans="1:17" ht="20" x14ac:dyDescent="0.25">
      <c r="A13" s="24" t="s">
        <v>15</v>
      </c>
      <c r="B13" s="4" t="s">
        <v>20</v>
      </c>
      <c r="C13" s="4">
        <v>80</v>
      </c>
      <c r="D13" s="36">
        <v>5</v>
      </c>
      <c r="E13" s="2">
        <f>SSQ_Results!P14</f>
        <v>28.620000000000005</v>
      </c>
      <c r="F13" s="2">
        <f>SSQ_Results!Q14</f>
        <v>68.22</v>
      </c>
      <c r="G13" s="2">
        <f>SSQ_Results!R14</f>
        <v>69.599999999999994</v>
      </c>
      <c r="H13" s="2">
        <f>SSQ_Results!S14</f>
        <v>63.58</v>
      </c>
      <c r="K13" s="28" t="s">
        <v>19</v>
      </c>
      <c r="L13">
        <v>10</v>
      </c>
      <c r="M13" s="31">
        <f t="shared" si="4"/>
        <v>3.1052631578947367</v>
      </c>
      <c r="N13" s="31">
        <f t="shared" si="5"/>
        <v>23.096842105263161</v>
      </c>
      <c r="O13" s="31">
        <f t="shared" si="6"/>
        <v>28.72421052631579</v>
      </c>
      <c r="P13" s="31">
        <f t="shared" si="7"/>
        <v>39.562105263157889</v>
      </c>
      <c r="Q13" s="33">
        <f t="shared" si="8"/>
        <v>33.856842105263148</v>
      </c>
    </row>
    <row r="14" spans="1:17" ht="20" x14ac:dyDescent="0.25">
      <c r="A14" s="24" t="s">
        <v>51</v>
      </c>
      <c r="B14" s="4" t="s">
        <v>20</v>
      </c>
      <c r="C14" s="4">
        <v>50</v>
      </c>
      <c r="D14" s="36">
        <v>0</v>
      </c>
      <c r="E14" s="2">
        <f>SSQ_Results!P15</f>
        <v>0</v>
      </c>
      <c r="F14" s="2">
        <f>SSQ_Results!Q15</f>
        <v>0</v>
      </c>
      <c r="G14" s="2">
        <f>SSQ_Results!R15</f>
        <v>13.92</v>
      </c>
      <c r="H14" s="2">
        <f>SSQ_Results!S15</f>
        <v>3.740000000000002</v>
      </c>
      <c r="K14" s="28" t="s">
        <v>20</v>
      </c>
      <c r="L14">
        <v>10</v>
      </c>
      <c r="M14" s="31">
        <f t="shared" si="4"/>
        <v>1.7</v>
      </c>
      <c r="N14" s="31">
        <f t="shared" si="5"/>
        <v>8.1089999999999982</v>
      </c>
      <c r="O14" s="31">
        <f t="shared" si="6"/>
        <v>21.224000000000004</v>
      </c>
      <c r="P14" s="31">
        <f t="shared" si="7"/>
        <v>30.624000000000006</v>
      </c>
      <c r="Q14" s="33">
        <f t="shared" si="8"/>
        <v>21.879000000000005</v>
      </c>
    </row>
    <row r="15" spans="1:17" ht="20" x14ac:dyDescent="0.25">
      <c r="A15" s="24" t="s">
        <v>52</v>
      </c>
      <c r="B15" s="4" t="s">
        <v>19</v>
      </c>
      <c r="C15" s="4">
        <v>90</v>
      </c>
      <c r="D15" s="36">
        <v>7</v>
      </c>
      <c r="E15" s="2">
        <f>SSQ_Results!P16</f>
        <v>19.079999999999998</v>
      </c>
      <c r="F15" s="2">
        <f>SSQ_Results!Q16</f>
        <v>37.900000000000006</v>
      </c>
      <c r="G15" s="2">
        <f>SSQ_Results!R16</f>
        <v>83.52000000000001</v>
      </c>
      <c r="H15" s="2">
        <f>SSQ_Results!S16</f>
        <v>48.62</v>
      </c>
      <c r="K15" s="28" t="s">
        <v>19</v>
      </c>
      <c r="L15">
        <v>20</v>
      </c>
      <c r="M15" s="31">
        <f t="shared" si="4"/>
        <v>3.1052631578947367</v>
      </c>
      <c r="N15" s="31">
        <f t="shared" si="5"/>
        <v>23.096842105263161</v>
      </c>
      <c r="O15" s="31">
        <f t="shared" si="6"/>
        <v>28.72421052631579</v>
      </c>
      <c r="P15" s="31">
        <f t="shared" si="7"/>
        <v>39.562105263157889</v>
      </c>
      <c r="Q15" s="33">
        <f t="shared" si="8"/>
        <v>33.856842105263148</v>
      </c>
    </row>
    <row r="16" spans="1:17" ht="20" x14ac:dyDescent="0.25">
      <c r="A16" s="24" t="s">
        <v>53</v>
      </c>
      <c r="B16" s="4" t="s">
        <v>20</v>
      </c>
      <c r="C16" s="4">
        <v>60</v>
      </c>
      <c r="D16" s="36">
        <v>3</v>
      </c>
      <c r="E16" s="2">
        <f>SSQ_Results!P17</f>
        <v>28.619999999999997</v>
      </c>
      <c r="F16" s="2">
        <f>SSQ_Results!Q17</f>
        <v>15.160000000000004</v>
      </c>
      <c r="G16" s="2">
        <f>SSQ_Results!R17</f>
        <v>41.76</v>
      </c>
      <c r="H16" s="2">
        <f>SSQ_Results!S17</f>
        <v>29.92</v>
      </c>
      <c r="K16" s="28" t="s">
        <v>20</v>
      </c>
      <c r="L16">
        <v>20</v>
      </c>
      <c r="M16" s="31">
        <f t="shared" si="4"/>
        <v>1.7</v>
      </c>
      <c r="N16" s="31">
        <f t="shared" si="5"/>
        <v>8.1089999999999982</v>
      </c>
      <c r="O16" s="31">
        <f t="shared" si="6"/>
        <v>21.224000000000004</v>
      </c>
      <c r="P16" s="31">
        <f t="shared" si="7"/>
        <v>30.624000000000006</v>
      </c>
      <c r="Q16" s="33">
        <f t="shared" si="8"/>
        <v>21.879000000000005</v>
      </c>
    </row>
    <row r="17" spans="1:17" ht="20" x14ac:dyDescent="0.25">
      <c r="A17" s="24" t="s">
        <v>56</v>
      </c>
      <c r="B17" s="4" t="s">
        <v>20</v>
      </c>
      <c r="C17" s="4">
        <v>80</v>
      </c>
      <c r="D17" s="36">
        <v>1</v>
      </c>
      <c r="E17" s="2">
        <f>SSQ_Results!P18</f>
        <v>-19.079999999999998</v>
      </c>
      <c r="F17" s="2">
        <f>SSQ_Results!Q18</f>
        <v>7.58</v>
      </c>
      <c r="G17" s="2">
        <f>SSQ_Results!R18</f>
        <v>0</v>
      </c>
      <c r="H17" s="2">
        <f>SSQ_Results!S18</f>
        <v>-3.74</v>
      </c>
      <c r="K17" s="28" t="s">
        <v>19</v>
      </c>
      <c r="L17">
        <v>30</v>
      </c>
      <c r="M17" s="31">
        <f t="shared" si="4"/>
        <v>3.2777777777777777</v>
      </c>
      <c r="N17" s="31">
        <f t="shared" si="5"/>
        <v>25.439999999999998</v>
      </c>
      <c r="O17" s="31">
        <f t="shared" si="6"/>
        <v>30.32</v>
      </c>
      <c r="P17" s="31">
        <f t="shared" si="7"/>
        <v>41.759999999999991</v>
      </c>
      <c r="Q17" s="33">
        <f t="shared" si="8"/>
        <v>36.153333333333329</v>
      </c>
    </row>
    <row r="18" spans="1:17" ht="20" x14ac:dyDescent="0.25">
      <c r="A18" s="24" t="s">
        <v>57</v>
      </c>
      <c r="B18" s="4" t="s">
        <v>20</v>
      </c>
      <c r="C18" s="4">
        <v>95</v>
      </c>
      <c r="D18" s="36">
        <v>1</v>
      </c>
      <c r="E18" s="2">
        <f>SSQ_Results!P19</f>
        <v>-19.079999999999998</v>
      </c>
      <c r="F18" s="2">
        <f>SSQ_Results!Q19</f>
        <v>7.5800000000000054</v>
      </c>
      <c r="G18" s="2">
        <f>SSQ_Results!R19</f>
        <v>0</v>
      </c>
      <c r="H18" s="2">
        <f>SSQ_Results!S19</f>
        <v>-3.7399999999999949</v>
      </c>
      <c r="K18" s="28" t="s">
        <v>20</v>
      </c>
      <c r="L18">
        <v>30</v>
      </c>
      <c r="M18" s="31">
        <f t="shared" si="4"/>
        <v>1.7894736842105263</v>
      </c>
      <c r="N18" s="31">
        <f t="shared" si="5"/>
        <v>8.0336842105263173</v>
      </c>
      <c r="O18" s="31">
        <f t="shared" si="6"/>
        <v>21.942105263157895</v>
      </c>
      <c r="P18" s="31">
        <f t="shared" si="7"/>
        <v>31.503157894736844</v>
      </c>
      <c r="Q18" s="33">
        <f t="shared" si="8"/>
        <v>22.440000000000005</v>
      </c>
    </row>
    <row r="19" spans="1:17" ht="20" x14ac:dyDescent="0.25">
      <c r="A19" s="24" t="s">
        <v>58</v>
      </c>
      <c r="B19" s="4" t="s">
        <v>19</v>
      </c>
      <c r="C19" s="4">
        <v>20</v>
      </c>
      <c r="D19" s="36">
        <v>0</v>
      </c>
      <c r="E19" s="2">
        <f>SSQ_Results!P20</f>
        <v>-19.079999999999998</v>
      </c>
      <c r="F19" s="2">
        <f>SSQ_Results!Q20</f>
        <v>0</v>
      </c>
      <c r="G19" s="2">
        <f>SSQ_Results!R20</f>
        <v>0</v>
      </c>
      <c r="H19" s="2">
        <f>SSQ_Results!S20</f>
        <v>-7.48</v>
      </c>
      <c r="K19" s="28" t="s">
        <v>19</v>
      </c>
      <c r="L19">
        <v>40</v>
      </c>
      <c r="M19" s="31">
        <f t="shared" si="4"/>
        <v>3.2941176470588234</v>
      </c>
      <c r="N19" s="31">
        <f t="shared" si="5"/>
        <v>25.814117647058826</v>
      </c>
      <c r="O19" s="31">
        <f t="shared" si="6"/>
        <v>28.982352941176465</v>
      </c>
      <c r="P19" s="31">
        <f t="shared" si="7"/>
        <v>42.578823529411764</v>
      </c>
      <c r="Q19" s="33">
        <f t="shared" si="8"/>
        <v>35.86</v>
      </c>
    </row>
    <row r="20" spans="1:17" ht="20" x14ac:dyDescent="0.25">
      <c r="A20" s="24" t="s">
        <v>59</v>
      </c>
      <c r="B20" s="4" t="s">
        <v>20</v>
      </c>
      <c r="C20" s="4">
        <v>0</v>
      </c>
      <c r="D20" s="36">
        <v>0</v>
      </c>
      <c r="E20" s="2">
        <f>SSQ_Results!P21</f>
        <v>-19.079999999999998</v>
      </c>
      <c r="F20" s="2">
        <f>SSQ_Results!Q21</f>
        <v>0</v>
      </c>
      <c r="G20" s="2">
        <f>SSQ_Results!R21</f>
        <v>27.84</v>
      </c>
      <c r="H20" s="2">
        <f>SSQ_Results!S21</f>
        <v>0</v>
      </c>
      <c r="K20" s="28" t="s">
        <v>20</v>
      </c>
      <c r="L20">
        <v>40</v>
      </c>
      <c r="M20" s="31">
        <f t="shared" si="4"/>
        <v>1.8333333333333333</v>
      </c>
      <c r="N20" s="31">
        <f t="shared" si="5"/>
        <v>6.3599999999999994</v>
      </c>
      <c r="O20" s="31">
        <f t="shared" si="6"/>
        <v>19.371111111111112</v>
      </c>
      <c r="P20" s="31">
        <f t="shared" si="7"/>
        <v>31.706666666666667</v>
      </c>
      <c r="Q20" s="33">
        <f t="shared" si="8"/>
        <v>20.570000000000004</v>
      </c>
    </row>
    <row r="21" spans="1:17" ht="20" x14ac:dyDescent="0.25">
      <c r="A21" s="24" t="s">
        <v>60</v>
      </c>
      <c r="B21" s="4" t="s">
        <v>19</v>
      </c>
      <c r="C21" s="4">
        <v>90</v>
      </c>
      <c r="D21" s="36">
        <v>3</v>
      </c>
      <c r="E21" s="2">
        <f>SSQ_Results!P22</f>
        <v>9.5399999999999991</v>
      </c>
      <c r="F21" s="2">
        <f>SSQ_Results!Q22</f>
        <v>15.159999999999997</v>
      </c>
      <c r="G21" s="2">
        <f>SSQ_Results!R22</f>
        <v>27.839999999999996</v>
      </c>
      <c r="H21" s="2">
        <f>SSQ_Results!S22</f>
        <v>18.7</v>
      </c>
      <c r="K21" s="28" t="s">
        <v>19</v>
      </c>
      <c r="L21">
        <v>50</v>
      </c>
      <c r="M21" s="31">
        <f t="shared" si="4"/>
        <v>3.2941176470588234</v>
      </c>
      <c r="N21" s="31">
        <f t="shared" si="5"/>
        <v>25.814117647058826</v>
      </c>
      <c r="O21" s="31">
        <f t="shared" si="6"/>
        <v>28.982352941176465</v>
      </c>
      <c r="P21" s="31">
        <f t="shared" si="7"/>
        <v>42.578823529411764</v>
      </c>
      <c r="Q21" s="33">
        <f t="shared" si="8"/>
        <v>35.86</v>
      </c>
    </row>
    <row r="22" spans="1:17" ht="20" x14ac:dyDescent="0.25">
      <c r="A22" s="24" t="s">
        <v>67</v>
      </c>
      <c r="B22" s="4" t="s">
        <v>19</v>
      </c>
      <c r="C22" s="4">
        <v>70</v>
      </c>
      <c r="D22" s="36">
        <v>2</v>
      </c>
      <c r="E22" s="2">
        <f>SSQ_Results!P23</f>
        <v>19.079999999999998</v>
      </c>
      <c r="F22" s="2">
        <f>SSQ_Results!Q23</f>
        <v>0</v>
      </c>
      <c r="G22" s="2">
        <f>SSQ_Results!R23</f>
        <v>27.84</v>
      </c>
      <c r="H22" s="2">
        <f>SSQ_Results!S23</f>
        <v>14.960000000000003</v>
      </c>
      <c r="K22" s="28" t="s">
        <v>20</v>
      </c>
      <c r="L22">
        <v>50</v>
      </c>
      <c r="M22" s="31">
        <f t="shared" si="4"/>
        <v>1.9411764705882353</v>
      </c>
      <c r="N22" s="31">
        <f t="shared" si="5"/>
        <v>7.2952941176470576</v>
      </c>
      <c r="O22" s="31">
        <f t="shared" si="6"/>
        <v>20.510588235294119</v>
      </c>
      <c r="P22" s="31">
        <f t="shared" si="7"/>
        <v>31.934117647058823</v>
      </c>
      <c r="Q22" s="33">
        <f t="shared" si="8"/>
        <v>21.560000000000002</v>
      </c>
    </row>
    <row r="23" spans="1:17" ht="20" x14ac:dyDescent="0.25">
      <c r="A23" s="24" t="s">
        <v>68</v>
      </c>
      <c r="B23" s="4" t="s">
        <v>20</v>
      </c>
      <c r="C23" s="4">
        <v>60</v>
      </c>
      <c r="D23" s="36">
        <v>0</v>
      </c>
      <c r="E23" s="2">
        <f>SSQ_Results!P24</f>
        <v>0</v>
      </c>
      <c r="F23" s="2">
        <f>SSQ_Results!Q24</f>
        <v>7.58</v>
      </c>
      <c r="G23" s="2">
        <f>SSQ_Results!R24</f>
        <v>13.92</v>
      </c>
      <c r="H23" s="2">
        <f>SSQ_Results!S24</f>
        <v>7.48</v>
      </c>
      <c r="K23" s="28" t="s">
        <v>19</v>
      </c>
      <c r="L23">
        <v>60</v>
      </c>
      <c r="M23" s="31">
        <f t="shared" si="4"/>
        <v>3.6428571428571428</v>
      </c>
      <c r="N23" s="31">
        <f t="shared" si="5"/>
        <v>26.57571428571428</v>
      </c>
      <c r="O23" s="31">
        <f t="shared" si="6"/>
        <v>30.32</v>
      </c>
      <c r="P23" s="31">
        <f t="shared" si="7"/>
        <v>48.720000000000006</v>
      </c>
      <c r="Q23" s="33">
        <f t="shared" si="8"/>
        <v>38.46857142857143</v>
      </c>
    </row>
    <row r="24" spans="1:17" ht="20" x14ac:dyDescent="0.25">
      <c r="A24" s="24" t="s">
        <v>69</v>
      </c>
      <c r="B24" s="4" t="s">
        <v>20</v>
      </c>
      <c r="C24" s="4">
        <v>95</v>
      </c>
      <c r="D24" s="36">
        <v>2</v>
      </c>
      <c r="E24" s="2">
        <f>SSQ_Results!P25</f>
        <v>9.5399999999999991</v>
      </c>
      <c r="F24" s="2">
        <f>SSQ_Results!Q25</f>
        <v>7.5799999999999983</v>
      </c>
      <c r="G24" s="2">
        <f>SSQ_Results!R25</f>
        <v>13.92</v>
      </c>
      <c r="H24" s="2">
        <f>SSQ_Results!S25</f>
        <v>11.220000000000002</v>
      </c>
      <c r="K24" s="28" t="s">
        <v>20</v>
      </c>
      <c r="L24">
        <v>60</v>
      </c>
      <c r="M24" s="31">
        <f t="shared" si="4"/>
        <v>2.2142857142857144</v>
      </c>
      <c r="N24" s="31">
        <f t="shared" si="5"/>
        <v>7.4957142857142856</v>
      </c>
      <c r="O24" s="31">
        <f t="shared" si="6"/>
        <v>22.740000000000006</v>
      </c>
      <c r="P24" s="31">
        <f t="shared" si="7"/>
        <v>32.811428571428571</v>
      </c>
      <c r="Q24" s="33">
        <f t="shared" si="8"/>
        <v>22.974285714285717</v>
      </c>
    </row>
    <row r="25" spans="1:17" ht="20" x14ac:dyDescent="0.25">
      <c r="A25" s="24" t="s">
        <v>71</v>
      </c>
      <c r="B25" s="4" t="s">
        <v>19</v>
      </c>
      <c r="C25" s="4">
        <v>95</v>
      </c>
      <c r="D25" s="36">
        <v>0</v>
      </c>
      <c r="E25" s="2">
        <f>SSQ_Results!P26</f>
        <v>0</v>
      </c>
      <c r="F25" s="2">
        <f>SSQ_Results!Q26</f>
        <v>15.160000000000004</v>
      </c>
      <c r="G25" s="2">
        <f>SSQ_Results!R26</f>
        <v>13.92</v>
      </c>
      <c r="H25" s="2">
        <f>SSQ_Results!S26</f>
        <v>11.220000000000006</v>
      </c>
      <c r="K25" s="28" t="s">
        <v>19</v>
      </c>
      <c r="L25">
        <v>70</v>
      </c>
      <c r="M25" s="31">
        <f t="shared" si="4"/>
        <v>3.8461538461538463</v>
      </c>
      <c r="N25" s="31">
        <f t="shared" si="5"/>
        <v>27.886153846153846</v>
      </c>
      <c r="O25" s="31">
        <f t="shared" si="6"/>
        <v>30.903076923076924</v>
      </c>
      <c r="P25" s="31">
        <f t="shared" si="7"/>
        <v>48.184615384615384</v>
      </c>
      <c r="Q25" s="33">
        <f t="shared" si="8"/>
        <v>39.126153846153855</v>
      </c>
    </row>
    <row r="26" spans="1:17" ht="20" x14ac:dyDescent="0.25">
      <c r="A26" s="24" t="s">
        <v>72</v>
      </c>
      <c r="B26" s="4" t="s">
        <v>20</v>
      </c>
      <c r="C26" s="4">
        <v>70</v>
      </c>
      <c r="D26" s="36">
        <v>1</v>
      </c>
      <c r="E26" s="2">
        <f>SSQ_Results!P27</f>
        <v>0</v>
      </c>
      <c r="F26" s="2">
        <f>SSQ_Results!Q27</f>
        <v>7.58</v>
      </c>
      <c r="G26" s="2">
        <f>SSQ_Results!R27</f>
        <v>0</v>
      </c>
      <c r="H26" s="2">
        <f>SSQ_Results!S27</f>
        <v>3.74</v>
      </c>
      <c r="K26" s="28" t="s">
        <v>20</v>
      </c>
      <c r="L26">
        <v>70</v>
      </c>
      <c r="M26" s="31">
        <f t="shared" si="4"/>
        <v>2.3333333333333335</v>
      </c>
      <c r="N26" s="31">
        <f t="shared" si="5"/>
        <v>6.3600000000000021</v>
      </c>
      <c r="O26" s="31">
        <f t="shared" si="6"/>
        <v>24.635000000000005</v>
      </c>
      <c r="P26" s="31">
        <f t="shared" si="7"/>
        <v>33.64</v>
      </c>
      <c r="Q26" s="33">
        <f t="shared" si="8"/>
        <v>23.686666666666664</v>
      </c>
    </row>
    <row r="27" spans="1:17" ht="20" x14ac:dyDescent="0.25">
      <c r="A27" s="24" t="s">
        <v>73</v>
      </c>
      <c r="B27" s="4" t="s">
        <v>19</v>
      </c>
      <c r="C27" s="4">
        <v>80</v>
      </c>
      <c r="D27" s="36">
        <v>0</v>
      </c>
      <c r="E27" s="2">
        <f>SSQ_Results!P28</f>
        <v>-9.5399999999999991</v>
      </c>
      <c r="F27" s="2">
        <f>SSQ_Results!Q28</f>
        <v>7.5800000000000054</v>
      </c>
      <c r="G27" s="2">
        <f>SSQ_Results!R28</f>
        <v>13.919999999999998</v>
      </c>
      <c r="H27" s="2">
        <f>SSQ_Results!S28</f>
        <v>3.7399999999999949</v>
      </c>
      <c r="K27" s="28" t="s">
        <v>19</v>
      </c>
      <c r="L27">
        <v>80</v>
      </c>
      <c r="M27" s="31">
        <f t="shared" si="4"/>
        <v>4.0909090909090908</v>
      </c>
      <c r="N27" s="31">
        <f t="shared" si="5"/>
        <v>29.487272727272728</v>
      </c>
      <c r="O27" s="31">
        <f t="shared" si="6"/>
        <v>33.765454545454539</v>
      </c>
      <c r="P27" s="31">
        <f t="shared" si="7"/>
        <v>53.149090909090908</v>
      </c>
      <c r="Q27" s="33">
        <f t="shared" si="8"/>
        <v>42.5</v>
      </c>
    </row>
    <row r="28" spans="1:17" ht="20" x14ac:dyDescent="0.25">
      <c r="A28" s="24" t="s">
        <v>74</v>
      </c>
      <c r="B28" s="4" t="s">
        <v>20</v>
      </c>
      <c r="C28" s="4">
        <v>50</v>
      </c>
      <c r="D28" s="37">
        <v>1</v>
      </c>
      <c r="E28" s="2">
        <f>SSQ_Results!P29</f>
        <v>9.5399999999999991</v>
      </c>
      <c r="F28" s="2">
        <f>SSQ_Results!Q29</f>
        <v>7.58</v>
      </c>
      <c r="G28" s="2">
        <f>SSQ_Results!R29</f>
        <v>55.68</v>
      </c>
      <c r="H28" s="2">
        <f>SSQ_Results!S29</f>
        <v>22.439999999999998</v>
      </c>
      <c r="K28" s="28" t="s">
        <v>20</v>
      </c>
      <c r="L28">
        <v>80</v>
      </c>
      <c r="M28" s="31">
        <f t="shared" si="4"/>
        <v>2.2000000000000002</v>
      </c>
      <c r="N28" s="31">
        <f t="shared" si="5"/>
        <v>1.9080000000000013</v>
      </c>
      <c r="O28" s="31">
        <f t="shared" si="6"/>
        <v>27.288000000000011</v>
      </c>
      <c r="P28" s="31">
        <f t="shared" si="7"/>
        <v>37.584000000000003</v>
      </c>
      <c r="Q28" s="33">
        <f t="shared" si="8"/>
        <v>24.309999999999995</v>
      </c>
    </row>
    <row r="29" spans="1:17" ht="20" x14ac:dyDescent="0.25">
      <c r="A29" s="24" t="s">
        <v>75</v>
      </c>
      <c r="B29" s="4" t="s">
        <v>19</v>
      </c>
      <c r="C29" s="4">
        <v>80</v>
      </c>
      <c r="D29" s="37">
        <v>4</v>
      </c>
      <c r="E29" s="2">
        <f>SSQ_Results!P30</f>
        <v>38.159999999999997</v>
      </c>
      <c r="F29" s="2">
        <f>SSQ_Results!Q30</f>
        <v>45.48</v>
      </c>
      <c r="G29" s="2">
        <f>SSQ_Results!R30</f>
        <v>55.679999999999993</v>
      </c>
      <c r="H29" s="2">
        <f>SSQ_Results!S30</f>
        <v>52.360000000000007</v>
      </c>
      <c r="K29" s="28" t="s">
        <v>19</v>
      </c>
      <c r="L29">
        <v>90</v>
      </c>
      <c r="M29" s="31">
        <f t="shared" si="4"/>
        <v>4.375</v>
      </c>
      <c r="N29" s="31">
        <f t="shared" si="5"/>
        <v>31.005000000000003</v>
      </c>
      <c r="O29" s="31">
        <f t="shared" si="6"/>
        <v>25.5825</v>
      </c>
      <c r="P29" s="31">
        <f t="shared" si="7"/>
        <v>45.239999999999995</v>
      </c>
      <c r="Q29" s="33">
        <f t="shared" si="8"/>
        <v>36.932500000000005</v>
      </c>
    </row>
    <row r="30" spans="1:17" ht="20" x14ac:dyDescent="0.25">
      <c r="A30" s="24" t="s">
        <v>76</v>
      </c>
      <c r="B30" s="4" t="s">
        <v>19</v>
      </c>
      <c r="C30" s="4">
        <v>0</v>
      </c>
      <c r="D30" s="36">
        <v>3</v>
      </c>
      <c r="E30" s="2">
        <f>SSQ_Results!P31</f>
        <v>0</v>
      </c>
      <c r="F30" s="2">
        <f>SSQ_Results!Q31</f>
        <v>-7.5800000000000018</v>
      </c>
      <c r="G30" s="2">
        <f>SSQ_Results!R31</f>
        <v>0</v>
      </c>
      <c r="H30" s="2">
        <f>SSQ_Results!S31</f>
        <v>-3.740000000000002</v>
      </c>
      <c r="K30" s="28" t="s">
        <v>20</v>
      </c>
      <c r="L30">
        <v>90</v>
      </c>
      <c r="M30" s="31">
        <f t="shared" si="4"/>
        <v>2.1428571428571428</v>
      </c>
      <c r="N30" s="31">
        <f t="shared" si="5"/>
        <v>4.088571428571429</v>
      </c>
      <c r="O30" s="31">
        <f t="shared" si="6"/>
        <v>24.905714285714286</v>
      </c>
      <c r="P30" s="31">
        <f t="shared" si="7"/>
        <v>37.782857142857146</v>
      </c>
      <c r="Q30" s="33">
        <f t="shared" si="8"/>
        <v>24.042857142857144</v>
      </c>
    </row>
    <row r="31" spans="1:17" ht="20" x14ac:dyDescent="0.25">
      <c r="A31" s="24" t="s">
        <v>77</v>
      </c>
      <c r="B31" s="4" t="s">
        <v>20</v>
      </c>
      <c r="C31" s="4">
        <v>95</v>
      </c>
      <c r="D31" s="36">
        <v>3</v>
      </c>
      <c r="E31" s="2">
        <f>SSQ_Results!P32</f>
        <v>-38.159999999999997</v>
      </c>
      <c r="F31" s="2">
        <f>SSQ_Results!Q32</f>
        <v>15.159999999999997</v>
      </c>
      <c r="G31" s="2">
        <f>SSQ_Results!R32</f>
        <v>55.68</v>
      </c>
      <c r="H31" s="2">
        <f>SSQ_Results!S32</f>
        <v>7.4799999999999969</v>
      </c>
      <c r="K31" s="28" t="s">
        <v>19</v>
      </c>
      <c r="L31">
        <v>95</v>
      </c>
      <c r="M31" s="31">
        <f t="shared" si="4"/>
        <v>4</v>
      </c>
      <c r="N31" s="31">
        <f t="shared" si="5"/>
        <v>23.85</v>
      </c>
      <c r="O31" s="31">
        <f t="shared" si="6"/>
        <v>20.844999999999999</v>
      </c>
      <c r="P31" s="31">
        <f t="shared" si="7"/>
        <v>31.32</v>
      </c>
      <c r="Q31" s="33">
        <f t="shared" si="8"/>
        <v>28.050000000000004</v>
      </c>
    </row>
    <row r="32" spans="1:17" ht="20" x14ac:dyDescent="0.25">
      <c r="A32" s="24" t="s">
        <v>78</v>
      </c>
      <c r="B32" s="4" t="s">
        <v>19</v>
      </c>
      <c r="C32" s="4">
        <v>30</v>
      </c>
      <c r="D32" s="36">
        <v>3</v>
      </c>
      <c r="E32" s="2">
        <f>SSQ_Results!P33</f>
        <v>19.079999999999998</v>
      </c>
      <c r="F32" s="2">
        <f>SSQ_Results!Q33</f>
        <v>53.06</v>
      </c>
      <c r="G32" s="2">
        <f>SSQ_Results!R33</f>
        <v>27.84</v>
      </c>
      <c r="H32" s="2">
        <f>SSQ_Results!S33</f>
        <v>41.14</v>
      </c>
      <c r="K32" s="29" t="s">
        <v>20</v>
      </c>
      <c r="L32" s="30">
        <v>95</v>
      </c>
      <c r="M32" s="34">
        <f t="shared" si="4"/>
        <v>1.5</v>
      </c>
      <c r="N32" s="34">
        <f t="shared" si="5"/>
        <v>-4.7699999999999987</v>
      </c>
      <c r="O32" s="34">
        <f t="shared" si="6"/>
        <v>6.3166666666666673</v>
      </c>
      <c r="P32" s="34">
        <f t="shared" si="7"/>
        <v>18.559999999999999</v>
      </c>
      <c r="Q32" s="35">
        <f t="shared" si="8"/>
        <v>6.2333333333333352</v>
      </c>
    </row>
    <row r="33" spans="1:8" ht="20" x14ac:dyDescent="0.25">
      <c r="A33" s="24" t="s">
        <v>79</v>
      </c>
      <c r="B33" s="4" t="s">
        <v>20</v>
      </c>
      <c r="C33" s="4">
        <v>30</v>
      </c>
      <c r="D33" s="36">
        <v>1</v>
      </c>
      <c r="E33" s="2">
        <f>SSQ_Results!P34</f>
        <v>38.159999999999997</v>
      </c>
      <c r="F33" s="2">
        <f>SSQ_Results!Q34</f>
        <v>68.22</v>
      </c>
      <c r="G33" s="2">
        <f>SSQ_Results!R34</f>
        <v>27.84</v>
      </c>
      <c r="H33" s="2">
        <f>SSQ_Results!S34</f>
        <v>56.1</v>
      </c>
    </row>
    <row r="34" spans="1:8" ht="20" x14ac:dyDescent="0.25">
      <c r="A34" s="24" t="s">
        <v>80</v>
      </c>
      <c r="B34" s="4" t="s">
        <v>19</v>
      </c>
      <c r="C34" s="4">
        <v>70</v>
      </c>
      <c r="D34" s="36">
        <v>3</v>
      </c>
      <c r="E34" s="2">
        <f>SSQ_Results!P35</f>
        <v>19.079999999999998</v>
      </c>
      <c r="F34" s="2">
        <f>SSQ_Results!Q35</f>
        <v>30.320000000000004</v>
      </c>
      <c r="G34" s="2">
        <f>SSQ_Results!R35</f>
        <v>13.92</v>
      </c>
      <c r="H34" s="2">
        <f>SSQ_Results!S35</f>
        <v>26.180000000000007</v>
      </c>
    </row>
    <row r="35" spans="1:8" ht="20" x14ac:dyDescent="0.25">
      <c r="A35" s="24" t="s">
        <v>81</v>
      </c>
      <c r="B35" s="4" t="s">
        <v>20</v>
      </c>
      <c r="C35" s="4">
        <v>40</v>
      </c>
      <c r="D35" s="36">
        <v>0</v>
      </c>
      <c r="E35" s="2">
        <f>SSQ_Results!P36</f>
        <v>-9.5399999999999991</v>
      </c>
      <c r="F35" s="2">
        <f>SSQ_Results!Q36</f>
        <v>0</v>
      </c>
      <c r="G35" s="2">
        <f>SSQ_Results!R36</f>
        <v>27.84</v>
      </c>
      <c r="H35" s="2">
        <f>SSQ_Results!S36</f>
        <v>3.740000000000002</v>
      </c>
    </row>
    <row r="36" spans="1:8" ht="20" x14ac:dyDescent="0.25">
      <c r="A36" s="24" t="s">
        <v>84</v>
      </c>
      <c r="B36" s="4" t="s">
        <v>19</v>
      </c>
      <c r="C36" s="4">
        <v>0</v>
      </c>
      <c r="D36" s="36">
        <v>1</v>
      </c>
      <c r="E36" s="2">
        <f>SSQ_Results!P37</f>
        <v>-19.079999999999998</v>
      </c>
      <c r="F36" s="2">
        <f>SSQ_Results!Q37</f>
        <v>-15.160000000000002</v>
      </c>
      <c r="G36" s="2">
        <f>SSQ_Results!R37</f>
        <v>-13.92</v>
      </c>
      <c r="H36" s="2">
        <f>SSQ_Results!S37</f>
        <v>-18.700000000000003</v>
      </c>
    </row>
    <row r="37" spans="1:8" ht="20" x14ac:dyDescent="0.25">
      <c r="A37" s="24" t="s">
        <v>82</v>
      </c>
      <c r="B37" s="4" t="s">
        <v>19</v>
      </c>
      <c r="C37" s="4">
        <v>50</v>
      </c>
      <c r="D37" s="36">
        <v>3</v>
      </c>
      <c r="E37" s="2">
        <f>SSQ_Results!P38</f>
        <v>28.619999999999997</v>
      </c>
      <c r="F37" s="2">
        <f>SSQ_Results!Q38</f>
        <v>37.9</v>
      </c>
      <c r="G37" s="2">
        <f>SSQ_Results!R38</f>
        <v>27.839999999999996</v>
      </c>
      <c r="H37" s="2">
        <f>SSQ_Results!S38</f>
        <v>37.4</v>
      </c>
    </row>
    <row r="38" spans="1:8" ht="20" x14ac:dyDescent="0.25">
      <c r="A38" s="32" t="s">
        <v>83</v>
      </c>
      <c r="B38" s="4" t="s">
        <v>19</v>
      </c>
      <c r="C38" s="4">
        <v>95</v>
      </c>
      <c r="D38" s="36">
        <v>2</v>
      </c>
      <c r="E38" s="2">
        <f>SSQ_Results!P39</f>
        <v>-9.5399999999999991</v>
      </c>
      <c r="F38" s="2">
        <f>SSQ_Results!Q39</f>
        <v>7.5799999999999983</v>
      </c>
      <c r="G38" s="2">
        <f>SSQ_Results!R39</f>
        <v>-27.839999999999996</v>
      </c>
      <c r="H38" s="2">
        <f>SSQ_Results!S39</f>
        <v>-7.48</v>
      </c>
    </row>
    <row r="39" spans="1:8" ht="20" x14ac:dyDescent="0.25">
      <c r="A39" s="32" t="s">
        <v>85</v>
      </c>
      <c r="B39" s="4" t="s">
        <v>20</v>
      </c>
      <c r="C39" s="4">
        <v>70</v>
      </c>
      <c r="D39" s="36">
        <v>5</v>
      </c>
      <c r="E39" s="2">
        <f>SSQ_Results!P40</f>
        <v>57.239999999999995</v>
      </c>
      <c r="F39" s="2">
        <f>SSQ_Results!Q40</f>
        <v>15.160000000000002</v>
      </c>
      <c r="G39" s="2">
        <f>SSQ_Results!R40</f>
        <v>27.84</v>
      </c>
      <c r="H39" s="2">
        <f>SSQ_Results!S40</f>
        <v>37.4</v>
      </c>
    </row>
    <row r="40" spans="1:8" ht="20" x14ac:dyDescent="0.25">
      <c r="A40" s="32" t="s">
        <v>86</v>
      </c>
      <c r="B40" s="4" t="s">
        <v>20</v>
      </c>
      <c r="C40" s="4">
        <v>0</v>
      </c>
      <c r="D40" s="36">
        <v>0</v>
      </c>
      <c r="E40" s="2">
        <f>SSQ_Results!P41</f>
        <v>0</v>
      </c>
      <c r="F40" s="2">
        <f>SSQ_Results!Q41</f>
        <v>7.58</v>
      </c>
      <c r="G40" s="2">
        <f>SSQ_Results!R41</f>
        <v>0</v>
      </c>
      <c r="H40" s="2">
        <f>SSQ_Results!S41</f>
        <v>3.74</v>
      </c>
    </row>
    <row r="41" spans="1:8" ht="20" x14ac:dyDescent="0.25">
      <c r="A41" s="24" t="s">
        <v>87</v>
      </c>
      <c r="B41" s="4" t="s">
        <v>19</v>
      </c>
      <c r="C41" s="4">
        <v>95</v>
      </c>
      <c r="D41" s="36">
        <v>8</v>
      </c>
      <c r="E41" s="2">
        <f>SSQ_Results!P42</f>
        <v>66.78</v>
      </c>
      <c r="F41" s="2">
        <f>SSQ_Results!Q42</f>
        <v>37.9</v>
      </c>
      <c r="G41" s="2">
        <f>SSQ_Results!R42</f>
        <v>97.44</v>
      </c>
      <c r="H41" s="2">
        <f>SSQ_Results!S42</f>
        <v>71.06</v>
      </c>
    </row>
    <row r="42" spans="1:8" ht="20" x14ac:dyDescent="0.25">
      <c r="A42" s="24" t="s">
        <v>88</v>
      </c>
      <c r="B42" s="4" t="s">
        <v>20</v>
      </c>
      <c r="C42" s="4">
        <v>95</v>
      </c>
      <c r="D42" s="36">
        <v>3</v>
      </c>
      <c r="E42" s="2">
        <f>SSQ_Results!P43</f>
        <v>57.24</v>
      </c>
      <c r="F42" s="2">
        <f>SSQ_Results!Q43</f>
        <v>15.160000000000002</v>
      </c>
      <c r="G42" s="2">
        <f>SSQ_Results!R43</f>
        <v>27.84</v>
      </c>
      <c r="H42" s="2">
        <f>SSQ_Results!S43</f>
        <v>37.400000000000006</v>
      </c>
    </row>
    <row r="43" spans="1:8" ht="20" x14ac:dyDescent="0.25">
      <c r="A43" s="24" t="s">
        <v>89</v>
      </c>
      <c r="B43" s="4" t="s">
        <v>19</v>
      </c>
      <c r="C43" s="4">
        <v>90</v>
      </c>
      <c r="D43" s="36">
        <v>1</v>
      </c>
      <c r="E43" s="2">
        <f>SSQ_Results!P44</f>
        <v>38.159999999999997</v>
      </c>
      <c r="F43" s="2">
        <f>SSQ_Results!Q44</f>
        <v>30.32</v>
      </c>
      <c r="G43" s="2">
        <f>SSQ_Results!R44</f>
        <v>0</v>
      </c>
      <c r="H43" s="2">
        <f>SSQ_Results!S44</f>
        <v>29.919999999999998</v>
      </c>
    </row>
    <row r="44" spans="1:8" ht="20" x14ac:dyDescent="0.25">
      <c r="A44" s="24" t="s">
        <v>90</v>
      </c>
      <c r="B44" s="4" t="s">
        <v>20</v>
      </c>
      <c r="C44" s="4">
        <v>95</v>
      </c>
      <c r="D44" s="36">
        <v>0</v>
      </c>
      <c r="E44" s="2">
        <f>SSQ_Results!P45</f>
        <v>-28.619999999999997</v>
      </c>
      <c r="F44" s="2">
        <f>SSQ_Results!Q45</f>
        <v>-7.58</v>
      </c>
      <c r="G44" s="2">
        <f>SSQ_Results!R45</f>
        <v>0</v>
      </c>
      <c r="H44" s="2">
        <f>SSQ_Results!S45</f>
        <v>-14.96</v>
      </c>
    </row>
    <row r="45" spans="1:8" ht="20" x14ac:dyDescent="0.25">
      <c r="A45" s="24" t="s">
        <v>91</v>
      </c>
      <c r="B45" s="4" t="s">
        <v>20</v>
      </c>
      <c r="C45" s="4">
        <v>95</v>
      </c>
      <c r="D45" s="36">
        <v>0</v>
      </c>
      <c r="E45" s="2">
        <f>SSQ_Results!P46</f>
        <v>-9.5399999999999991</v>
      </c>
      <c r="F45" s="2">
        <f>SSQ_Results!Q46</f>
        <v>0</v>
      </c>
      <c r="G45" s="2">
        <f>SSQ_Results!R46</f>
        <v>13.92</v>
      </c>
      <c r="H45" s="2">
        <f>SSQ_Results!S46</f>
        <v>0</v>
      </c>
    </row>
    <row r="46" spans="1:8" ht="20" x14ac:dyDescent="0.25">
      <c r="A46" s="24" t="s">
        <v>92</v>
      </c>
      <c r="B46" s="4" t="s">
        <v>19</v>
      </c>
      <c r="C46" s="4">
        <v>90</v>
      </c>
      <c r="D46" s="36">
        <v>8</v>
      </c>
      <c r="E46" s="2">
        <f>SSQ_Results!P47</f>
        <v>85.86</v>
      </c>
      <c r="F46" s="2">
        <f>SSQ_Results!Q47</f>
        <v>37.900000000000006</v>
      </c>
      <c r="G46" s="2">
        <f>SSQ_Results!R47</f>
        <v>125.28</v>
      </c>
      <c r="H46" s="2">
        <f>SSQ_Results!S47</f>
        <v>86.02000000000001</v>
      </c>
    </row>
    <row r="49" spans="4:4" x14ac:dyDescent="0.2">
      <c r="D49">
        <f>COUNTIF(D3:D46, "&gt;0")</f>
        <v>33</v>
      </c>
    </row>
    <row r="50" spans="4:4" x14ac:dyDescent="0.2">
      <c r="D50">
        <f>COUNTIFS(D3:D46, "&gt;0",B3:B46,"C")</f>
        <v>19</v>
      </c>
    </row>
    <row r="51" spans="4:4" x14ac:dyDescent="0.2">
      <c r="D51">
        <f>COUNTIFS(D3:D46, "&gt;0",B3:B46,"T")</f>
        <v>14</v>
      </c>
    </row>
  </sheetData>
  <mergeCells count="1">
    <mergeCell ref="K1:Q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8F541-E017-3D45-9A25-B62D8C4CD141}">
  <dimension ref="A1:J15"/>
  <sheetViews>
    <sheetView workbookViewId="0">
      <selection activeCell="A2" sqref="A2:J2"/>
    </sheetView>
  </sheetViews>
  <sheetFormatPr baseColWidth="10" defaultRowHeight="16" x14ac:dyDescent="0.2"/>
  <cols>
    <col min="1" max="1" width="21.83203125" customWidth="1"/>
  </cols>
  <sheetData>
    <row r="1" spans="1:10" ht="24" x14ac:dyDescent="0.3">
      <c r="A1" s="14" t="s">
        <v>25</v>
      </c>
    </row>
    <row r="2" spans="1:10" ht="82" customHeight="1" x14ac:dyDescent="0.2">
      <c r="A2" s="41" t="s">
        <v>93</v>
      </c>
      <c r="B2" s="41"/>
      <c r="C2" s="41"/>
      <c r="D2" s="41"/>
      <c r="E2" s="41"/>
      <c r="F2" s="41"/>
      <c r="G2" s="41"/>
      <c r="H2" s="41"/>
      <c r="I2" s="41"/>
      <c r="J2" s="41"/>
    </row>
    <row r="4" spans="1:10" x14ac:dyDescent="0.2">
      <c r="A4" s="6" t="s">
        <v>64</v>
      </c>
      <c r="B4" s="7" t="s">
        <v>65</v>
      </c>
    </row>
    <row r="5" spans="1:10" x14ac:dyDescent="0.2">
      <c r="A5" s="8" t="s">
        <v>22</v>
      </c>
      <c r="B5" s="10">
        <v>0</v>
      </c>
    </row>
    <row r="6" spans="1:10" x14ac:dyDescent="0.2">
      <c r="A6" s="8" t="s">
        <v>21</v>
      </c>
      <c r="B6" s="10">
        <v>1</v>
      </c>
    </row>
    <row r="7" spans="1:10" x14ac:dyDescent="0.2">
      <c r="A7" s="8" t="s">
        <v>23</v>
      </c>
      <c r="B7" s="10">
        <v>2</v>
      </c>
    </row>
    <row r="8" spans="1:10" x14ac:dyDescent="0.2">
      <c r="A8" s="11" t="s">
        <v>27</v>
      </c>
      <c r="B8" s="13">
        <v>3</v>
      </c>
    </row>
    <row r="11" spans="1:10" x14ac:dyDescent="0.2">
      <c r="A11" s="39" t="s">
        <v>63</v>
      </c>
      <c r="B11" s="40"/>
    </row>
    <row r="12" spans="1:10" x14ac:dyDescent="0.2">
      <c r="A12" s="8" t="s">
        <v>29</v>
      </c>
      <c r="B12" s="9">
        <v>9.5399999999999991</v>
      </c>
    </row>
    <row r="13" spans="1:10" x14ac:dyDescent="0.2">
      <c r="A13" s="8" t="s">
        <v>30</v>
      </c>
      <c r="B13" s="9">
        <v>7.58</v>
      </c>
    </row>
    <row r="14" spans="1:10" x14ac:dyDescent="0.2">
      <c r="A14" s="8" t="s">
        <v>31</v>
      </c>
      <c r="B14" s="9">
        <v>13.92</v>
      </c>
    </row>
    <row r="15" spans="1:10" x14ac:dyDescent="0.2">
      <c r="A15" s="11" t="s">
        <v>36</v>
      </c>
      <c r="B15" s="12">
        <v>3.74</v>
      </c>
    </row>
  </sheetData>
  <mergeCells count="2">
    <mergeCell ref="A11:B1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E360-4C70-F64B-BE33-11D06E2B73D7}">
  <dimension ref="A1:AG103"/>
  <sheetViews>
    <sheetView workbookViewId="0">
      <selection activeCell="A2" sqref="A2:O2"/>
    </sheetView>
  </sheetViews>
  <sheetFormatPr baseColWidth="10" defaultRowHeight="16" x14ac:dyDescent="0.2"/>
  <cols>
    <col min="1" max="1" width="10.83203125" style="43"/>
  </cols>
  <sheetData>
    <row r="1" spans="1:33" ht="27" x14ac:dyDescent="0.35">
      <c r="A1" s="5" t="s">
        <v>24</v>
      </c>
    </row>
    <row r="2" spans="1:33" ht="111" customHeight="1" x14ac:dyDescent="0.2">
      <c r="A2" s="42" t="s">
        <v>97</v>
      </c>
      <c r="B2" s="42"/>
      <c r="C2" s="42"/>
      <c r="D2" s="42"/>
      <c r="E2" s="42"/>
      <c r="F2" s="42"/>
      <c r="G2" s="42"/>
      <c r="H2" s="42"/>
      <c r="I2" s="42"/>
      <c r="J2" s="42"/>
      <c r="K2" s="42"/>
      <c r="L2" s="42"/>
      <c r="M2" s="42"/>
      <c r="N2" s="42"/>
      <c r="O2" s="42"/>
    </row>
    <row r="3" spans="1:33" ht="19" x14ac:dyDescent="0.2">
      <c r="A3" s="55" t="s">
        <v>94</v>
      </c>
      <c r="B3" s="56" t="s">
        <v>95</v>
      </c>
      <c r="C3" s="56"/>
      <c r="D3" s="56"/>
      <c r="E3" s="56"/>
      <c r="F3" s="56"/>
      <c r="G3" s="56"/>
      <c r="H3" s="56"/>
      <c r="I3" s="56"/>
      <c r="J3" s="56"/>
      <c r="K3" s="56"/>
      <c r="L3" s="56"/>
      <c r="M3" s="56"/>
      <c r="N3" s="56"/>
      <c r="O3" s="56"/>
      <c r="P3" s="56"/>
      <c r="Q3" s="56"/>
      <c r="R3" s="56" t="s">
        <v>96</v>
      </c>
      <c r="S3" s="56"/>
      <c r="T3" s="56"/>
      <c r="U3" s="56"/>
      <c r="V3" s="56"/>
      <c r="W3" s="56"/>
      <c r="X3" s="56"/>
      <c r="Y3" s="56"/>
      <c r="Z3" s="56"/>
      <c r="AA3" s="56"/>
      <c r="AB3" s="56"/>
      <c r="AC3" s="56"/>
      <c r="AD3" s="56"/>
      <c r="AE3" s="56"/>
      <c r="AF3" s="56"/>
      <c r="AG3" s="56"/>
    </row>
    <row r="4" spans="1:33" x14ac:dyDescent="0.2">
      <c r="A4" s="57">
        <v>1</v>
      </c>
      <c r="B4" s="45" t="s">
        <v>22</v>
      </c>
      <c r="C4" s="45" t="s">
        <v>22</v>
      </c>
      <c r="D4" s="45" t="s">
        <v>22</v>
      </c>
      <c r="E4" s="45" t="s">
        <v>22</v>
      </c>
      <c r="F4" s="45" t="s">
        <v>22</v>
      </c>
      <c r="G4" s="45" t="s">
        <v>22</v>
      </c>
      <c r="H4" s="45" t="s">
        <v>22</v>
      </c>
      <c r="I4" s="45" t="s">
        <v>22</v>
      </c>
      <c r="J4" s="45" t="s">
        <v>22</v>
      </c>
      <c r="K4" s="45" t="s">
        <v>22</v>
      </c>
      <c r="L4" s="45" t="s">
        <v>22</v>
      </c>
      <c r="M4" s="45" t="s">
        <v>22</v>
      </c>
      <c r="N4" s="45" t="s">
        <v>22</v>
      </c>
      <c r="O4" s="45" t="s">
        <v>22</v>
      </c>
      <c r="P4" s="45" t="s">
        <v>22</v>
      </c>
      <c r="Q4" s="44" t="s">
        <v>22</v>
      </c>
      <c r="R4" s="45" t="s">
        <v>21</v>
      </c>
      <c r="S4" s="45" t="s">
        <v>22</v>
      </c>
      <c r="T4" s="45" t="s">
        <v>22</v>
      </c>
      <c r="U4" s="45" t="s">
        <v>21</v>
      </c>
      <c r="V4" s="45" t="s">
        <v>22</v>
      </c>
      <c r="W4" s="45" t="s">
        <v>22</v>
      </c>
      <c r="X4" s="45" t="s">
        <v>22</v>
      </c>
      <c r="Y4" s="45" t="s">
        <v>22</v>
      </c>
      <c r="Z4" s="45" t="s">
        <v>22</v>
      </c>
      <c r="AA4" s="45" t="s">
        <v>22</v>
      </c>
      <c r="AB4" s="45" t="s">
        <v>22</v>
      </c>
      <c r="AC4" s="45" t="s">
        <v>22</v>
      </c>
      <c r="AD4" s="45" t="s">
        <v>22</v>
      </c>
      <c r="AE4" s="45" t="s">
        <v>22</v>
      </c>
      <c r="AF4" s="45" t="s">
        <v>23</v>
      </c>
      <c r="AG4" s="51" t="s">
        <v>22</v>
      </c>
    </row>
    <row r="5" spans="1:33" x14ac:dyDescent="0.2">
      <c r="A5" s="58">
        <v>2</v>
      </c>
      <c r="B5" s="45" t="s">
        <v>22</v>
      </c>
      <c r="C5" s="45" t="s">
        <v>21</v>
      </c>
      <c r="D5" s="45" t="s">
        <v>22</v>
      </c>
      <c r="E5" s="45" t="s">
        <v>22</v>
      </c>
      <c r="F5" s="45" t="s">
        <v>22</v>
      </c>
      <c r="G5" s="45" t="s">
        <v>22</v>
      </c>
      <c r="H5" s="45" t="s">
        <v>22</v>
      </c>
      <c r="I5" s="45" t="s">
        <v>22</v>
      </c>
      <c r="J5" s="45" t="s">
        <v>22</v>
      </c>
      <c r="K5" s="45" t="s">
        <v>22</v>
      </c>
      <c r="L5" s="45" t="s">
        <v>22</v>
      </c>
      <c r="M5" s="45" t="s">
        <v>22</v>
      </c>
      <c r="N5" s="45" t="s">
        <v>22</v>
      </c>
      <c r="O5" s="45" t="s">
        <v>22</v>
      </c>
      <c r="P5" s="45" t="s">
        <v>22</v>
      </c>
      <c r="Q5" s="9" t="s">
        <v>22</v>
      </c>
      <c r="R5" s="45" t="s">
        <v>21</v>
      </c>
      <c r="S5" s="45" t="s">
        <v>23</v>
      </c>
      <c r="T5" s="45" t="s">
        <v>23</v>
      </c>
      <c r="U5" s="45" t="s">
        <v>27</v>
      </c>
      <c r="V5" s="45" t="s">
        <v>27</v>
      </c>
      <c r="W5" s="45" t="s">
        <v>22</v>
      </c>
      <c r="X5" s="45" t="s">
        <v>22</v>
      </c>
      <c r="Y5" s="45" t="s">
        <v>23</v>
      </c>
      <c r="Z5" s="45" t="s">
        <v>23</v>
      </c>
      <c r="AA5" s="45" t="s">
        <v>22</v>
      </c>
      <c r="AB5" s="45" t="s">
        <v>27</v>
      </c>
      <c r="AC5" s="45" t="s">
        <v>21</v>
      </c>
      <c r="AD5" s="45" t="s">
        <v>23</v>
      </c>
      <c r="AE5" s="45" t="s">
        <v>22</v>
      </c>
      <c r="AF5" s="45" t="s">
        <v>22</v>
      </c>
      <c r="AG5" s="51" t="s">
        <v>22</v>
      </c>
    </row>
    <row r="6" spans="1:33" x14ac:dyDescent="0.2">
      <c r="A6" s="58">
        <v>3</v>
      </c>
      <c r="B6" s="45" t="s">
        <v>22</v>
      </c>
      <c r="C6" s="45" t="s">
        <v>21</v>
      </c>
      <c r="D6" s="45" t="s">
        <v>22</v>
      </c>
      <c r="E6" s="45" t="s">
        <v>22</v>
      </c>
      <c r="F6" s="45" t="s">
        <v>22</v>
      </c>
      <c r="G6" s="45" t="s">
        <v>22</v>
      </c>
      <c r="H6" s="45" t="s">
        <v>22</v>
      </c>
      <c r="I6" s="45" t="s">
        <v>22</v>
      </c>
      <c r="J6" s="45" t="s">
        <v>22</v>
      </c>
      <c r="K6" s="45" t="s">
        <v>22</v>
      </c>
      <c r="L6" s="45" t="s">
        <v>22</v>
      </c>
      <c r="M6" s="45" t="s">
        <v>22</v>
      </c>
      <c r="N6" s="45" t="s">
        <v>22</v>
      </c>
      <c r="O6" s="45" t="s">
        <v>22</v>
      </c>
      <c r="P6" s="45" t="s">
        <v>22</v>
      </c>
      <c r="Q6" s="9" t="s">
        <v>22</v>
      </c>
      <c r="R6" s="45" t="s">
        <v>21</v>
      </c>
      <c r="S6" s="45" t="s">
        <v>21</v>
      </c>
      <c r="T6" s="45" t="s">
        <v>22</v>
      </c>
      <c r="U6" s="45" t="s">
        <v>21</v>
      </c>
      <c r="V6" s="45" t="s">
        <v>22</v>
      </c>
      <c r="W6" s="45" t="s">
        <v>22</v>
      </c>
      <c r="X6" s="45" t="s">
        <v>22</v>
      </c>
      <c r="Y6" s="45" t="s">
        <v>22</v>
      </c>
      <c r="Z6" s="45" t="s">
        <v>22</v>
      </c>
      <c r="AA6" s="45" t="s">
        <v>21</v>
      </c>
      <c r="AB6" s="45" t="s">
        <v>22</v>
      </c>
      <c r="AC6" s="45" t="s">
        <v>22</v>
      </c>
      <c r="AD6" s="45" t="s">
        <v>22</v>
      </c>
      <c r="AE6" s="45" t="s">
        <v>22</v>
      </c>
      <c r="AF6" s="45" t="s">
        <v>22</v>
      </c>
      <c r="AG6" s="51" t="s">
        <v>22</v>
      </c>
    </row>
    <row r="7" spans="1:33" x14ac:dyDescent="0.2">
      <c r="A7" s="58">
        <v>4</v>
      </c>
      <c r="B7" s="45" t="s">
        <v>22</v>
      </c>
      <c r="C7" s="45" t="s">
        <v>22</v>
      </c>
      <c r="D7" s="45" t="s">
        <v>22</v>
      </c>
      <c r="E7" s="45" t="s">
        <v>22</v>
      </c>
      <c r="F7" s="45" t="s">
        <v>22</v>
      </c>
      <c r="G7" s="45" t="s">
        <v>22</v>
      </c>
      <c r="H7" s="45" t="s">
        <v>22</v>
      </c>
      <c r="I7" s="45" t="s">
        <v>22</v>
      </c>
      <c r="J7" s="45" t="s">
        <v>22</v>
      </c>
      <c r="K7" s="45" t="s">
        <v>22</v>
      </c>
      <c r="L7" s="45" t="s">
        <v>22</v>
      </c>
      <c r="M7" s="45" t="s">
        <v>22</v>
      </c>
      <c r="N7" s="45" t="s">
        <v>22</v>
      </c>
      <c r="O7" s="45" t="s">
        <v>22</v>
      </c>
      <c r="P7" s="45" t="s">
        <v>22</v>
      </c>
      <c r="Q7" s="9" t="s">
        <v>22</v>
      </c>
      <c r="R7" s="45" t="s">
        <v>22</v>
      </c>
      <c r="S7" s="45" t="s">
        <v>23</v>
      </c>
      <c r="T7" s="45" t="s">
        <v>22</v>
      </c>
      <c r="U7" s="45" t="s">
        <v>22</v>
      </c>
      <c r="V7" s="45" t="s">
        <v>22</v>
      </c>
      <c r="W7" s="45" t="s">
        <v>22</v>
      </c>
      <c r="X7" s="45" t="s">
        <v>21</v>
      </c>
      <c r="Y7" s="45" t="s">
        <v>23</v>
      </c>
      <c r="Z7" s="45" t="s">
        <v>21</v>
      </c>
      <c r="AA7" s="45" t="s">
        <v>21</v>
      </c>
      <c r="AB7" s="45" t="s">
        <v>22</v>
      </c>
      <c r="AC7" s="45" t="s">
        <v>22</v>
      </c>
      <c r="AD7" s="45" t="s">
        <v>22</v>
      </c>
      <c r="AE7" s="45" t="s">
        <v>22</v>
      </c>
      <c r="AF7" s="45" t="s">
        <v>22</v>
      </c>
      <c r="AG7" s="51" t="s">
        <v>22</v>
      </c>
    </row>
    <row r="8" spans="1:33" x14ac:dyDescent="0.2">
      <c r="A8" s="58">
        <v>5</v>
      </c>
      <c r="B8" s="45" t="s">
        <v>22</v>
      </c>
      <c r="C8" s="45" t="s">
        <v>23</v>
      </c>
      <c r="D8" s="45" t="s">
        <v>22</v>
      </c>
      <c r="E8" s="45" t="s">
        <v>21</v>
      </c>
      <c r="F8" s="45" t="s">
        <v>22</v>
      </c>
      <c r="G8" s="45" t="s">
        <v>22</v>
      </c>
      <c r="H8" s="45" t="s">
        <v>22</v>
      </c>
      <c r="I8" s="45" t="s">
        <v>22</v>
      </c>
      <c r="J8" s="45" t="s">
        <v>23</v>
      </c>
      <c r="K8" s="45" t="s">
        <v>22</v>
      </c>
      <c r="L8" s="45" t="s">
        <v>22</v>
      </c>
      <c r="M8" s="45" t="s">
        <v>22</v>
      </c>
      <c r="N8" s="45" t="s">
        <v>22</v>
      </c>
      <c r="O8" s="45" t="s">
        <v>22</v>
      </c>
      <c r="P8" s="45" t="s">
        <v>22</v>
      </c>
      <c r="Q8" s="9" t="s">
        <v>22</v>
      </c>
      <c r="R8" s="45" t="s">
        <v>21</v>
      </c>
      <c r="S8" s="45" t="s">
        <v>22</v>
      </c>
      <c r="T8" s="45" t="s">
        <v>21</v>
      </c>
      <c r="U8" s="45" t="s">
        <v>21</v>
      </c>
      <c r="V8" s="45" t="s">
        <v>22</v>
      </c>
      <c r="W8" s="45" t="s">
        <v>22</v>
      </c>
      <c r="X8" s="45" t="s">
        <v>22</v>
      </c>
      <c r="Y8" s="45" t="s">
        <v>22</v>
      </c>
      <c r="Z8" s="45" t="s">
        <v>22</v>
      </c>
      <c r="AA8" s="45" t="s">
        <v>23</v>
      </c>
      <c r="AB8" s="45" t="s">
        <v>22</v>
      </c>
      <c r="AC8" s="45" t="s">
        <v>22</v>
      </c>
      <c r="AD8" s="45" t="s">
        <v>22</v>
      </c>
      <c r="AE8" s="45" t="s">
        <v>22</v>
      </c>
      <c r="AF8" s="45" t="s">
        <v>22</v>
      </c>
      <c r="AG8" s="51" t="s">
        <v>22</v>
      </c>
    </row>
    <row r="9" spans="1:33" x14ac:dyDescent="0.2">
      <c r="A9" s="58">
        <v>6</v>
      </c>
      <c r="B9" s="45" t="s">
        <v>22</v>
      </c>
      <c r="C9" s="45" t="s">
        <v>23</v>
      </c>
      <c r="D9" s="45" t="s">
        <v>22</v>
      </c>
      <c r="E9" s="45" t="s">
        <v>21</v>
      </c>
      <c r="F9" s="45" t="s">
        <v>23</v>
      </c>
      <c r="G9" s="45" t="s">
        <v>22</v>
      </c>
      <c r="H9" s="45" t="s">
        <v>23</v>
      </c>
      <c r="I9" s="45" t="s">
        <v>22</v>
      </c>
      <c r="J9" s="45" t="s">
        <v>23</v>
      </c>
      <c r="K9" s="45" t="s">
        <v>21</v>
      </c>
      <c r="L9" s="45" t="s">
        <v>21</v>
      </c>
      <c r="M9" s="45" t="s">
        <v>22</v>
      </c>
      <c r="N9" s="45" t="s">
        <v>22</v>
      </c>
      <c r="O9" s="45" t="s">
        <v>22</v>
      </c>
      <c r="P9" s="45" t="s">
        <v>22</v>
      </c>
      <c r="Q9" s="9" t="s">
        <v>22</v>
      </c>
      <c r="R9" s="45" t="s">
        <v>21</v>
      </c>
      <c r="S9" s="45" t="s">
        <v>21</v>
      </c>
      <c r="T9" s="45" t="s">
        <v>23</v>
      </c>
      <c r="U9" s="45" t="s">
        <v>23</v>
      </c>
      <c r="V9" s="45" t="s">
        <v>23</v>
      </c>
      <c r="W9" s="45" t="s">
        <v>22</v>
      </c>
      <c r="X9" s="45" t="s">
        <v>22</v>
      </c>
      <c r="Y9" s="45" t="s">
        <v>22</v>
      </c>
      <c r="Z9" s="45" t="s">
        <v>21</v>
      </c>
      <c r="AA9" s="45" t="s">
        <v>27</v>
      </c>
      <c r="AB9" s="45" t="s">
        <v>23</v>
      </c>
      <c r="AC9" s="45" t="s">
        <v>22</v>
      </c>
      <c r="AD9" s="45" t="s">
        <v>22</v>
      </c>
      <c r="AE9" s="45" t="s">
        <v>22</v>
      </c>
      <c r="AF9" s="45" t="s">
        <v>22</v>
      </c>
      <c r="AG9" s="51" t="s">
        <v>22</v>
      </c>
    </row>
    <row r="10" spans="1:33" x14ac:dyDescent="0.2">
      <c r="A10" s="58">
        <v>7</v>
      </c>
      <c r="B10" s="45" t="s">
        <v>22</v>
      </c>
      <c r="C10" s="45" t="s">
        <v>23</v>
      </c>
      <c r="D10" s="45" t="s">
        <v>22</v>
      </c>
      <c r="E10" s="45" t="s">
        <v>21</v>
      </c>
      <c r="F10" s="45" t="s">
        <v>22</v>
      </c>
      <c r="G10" s="45" t="s">
        <v>22</v>
      </c>
      <c r="H10" s="45" t="s">
        <v>22</v>
      </c>
      <c r="I10" s="45" t="s">
        <v>22</v>
      </c>
      <c r="J10" s="45" t="s">
        <v>22</v>
      </c>
      <c r="K10" s="45" t="s">
        <v>22</v>
      </c>
      <c r="L10" s="45" t="s">
        <v>21</v>
      </c>
      <c r="M10" s="45" t="s">
        <v>22</v>
      </c>
      <c r="N10" s="45" t="s">
        <v>22</v>
      </c>
      <c r="O10" s="45" t="s">
        <v>22</v>
      </c>
      <c r="P10" s="45" t="s">
        <v>22</v>
      </c>
      <c r="Q10" s="9" t="s">
        <v>22</v>
      </c>
      <c r="R10" s="45" t="s">
        <v>22</v>
      </c>
      <c r="S10" s="45" t="s">
        <v>23</v>
      </c>
      <c r="T10" s="45" t="s">
        <v>22</v>
      </c>
      <c r="U10" s="45" t="s">
        <v>23</v>
      </c>
      <c r="V10" s="45" t="s">
        <v>21</v>
      </c>
      <c r="W10" s="45" t="s">
        <v>22</v>
      </c>
      <c r="X10" s="45" t="s">
        <v>22</v>
      </c>
      <c r="Y10" s="45" t="s">
        <v>22</v>
      </c>
      <c r="Z10" s="45" t="s">
        <v>21</v>
      </c>
      <c r="AA10" s="45" t="s">
        <v>22</v>
      </c>
      <c r="AB10" s="45" t="s">
        <v>21</v>
      </c>
      <c r="AC10" s="45" t="s">
        <v>23</v>
      </c>
      <c r="AD10" s="45" t="s">
        <v>21</v>
      </c>
      <c r="AE10" s="45" t="s">
        <v>22</v>
      </c>
      <c r="AF10" s="45" t="s">
        <v>22</v>
      </c>
      <c r="AG10" s="51" t="s">
        <v>22</v>
      </c>
    </row>
    <row r="11" spans="1:33" x14ac:dyDescent="0.2">
      <c r="A11" s="58">
        <v>8</v>
      </c>
      <c r="B11" s="45" t="s">
        <v>22</v>
      </c>
      <c r="C11" s="45" t="s">
        <v>22</v>
      </c>
      <c r="D11" s="45" t="s">
        <v>22</v>
      </c>
      <c r="E11" s="45" t="s">
        <v>22</v>
      </c>
      <c r="F11" s="45" t="s">
        <v>22</v>
      </c>
      <c r="G11" s="45" t="s">
        <v>22</v>
      </c>
      <c r="H11" s="45" t="s">
        <v>22</v>
      </c>
      <c r="I11" s="45" t="s">
        <v>22</v>
      </c>
      <c r="J11" s="45" t="s">
        <v>22</v>
      </c>
      <c r="K11" s="45" t="s">
        <v>22</v>
      </c>
      <c r="L11" s="45" t="s">
        <v>22</v>
      </c>
      <c r="M11" s="45" t="s">
        <v>22</v>
      </c>
      <c r="N11" s="45" t="s">
        <v>22</v>
      </c>
      <c r="O11" s="45" t="s">
        <v>22</v>
      </c>
      <c r="P11" s="45" t="s">
        <v>22</v>
      </c>
      <c r="Q11" s="9" t="s">
        <v>22</v>
      </c>
      <c r="R11" s="45" t="s">
        <v>21</v>
      </c>
      <c r="S11" s="45" t="s">
        <v>22</v>
      </c>
      <c r="T11" s="45" t="s">
        <v>22</v>
      </c>
      <c r="U11" s="45" t="s">
        <v>23</v>
      </c>
      <c r="V11" s="45" t="s">
        <v>22</v>
      </c>
      <c r="W11" s="45" t="s">
        <v>22</v>
      </c>
      <c r="X11" s="45" t="s">
        <v>22</v>
      </c>
      <c r="Y11" s="45" t="s">
        <v>22</v>
      </c>
      <c r="Z11" s="45" t="s">
        <v>22</v>
      </c>
      <c r="AA11" s="45" t="s">
        <v>21</v>
      </c>
      <c r="AB11" s="45" t="s">
        <v>22</v>
      </c>
      <c r="AC11" s="45" t="s">
        <v>22</v>
      </c>
      <c r="AD11" s="45" t="s">
        <v>22</v>
      </c>
      <c r="AE11" s="45" t="s">
        <v>22</v>
      </c>
      <c r="AF11" s="45" t="s">
        <v>22</v>
      </c>
      <c r="AG11" s="51" t="s">
        <v>22</v>
      </c>
    </row>
    <row r="12" spans="1:33" x14ac:dyDescent="0.2">
      <c r="A12" s="58">
        <v>9</v>
      </c>
      <c r="B12" s="45" t="s">
        <v>22</v>
      </c>
      <c r="C12" s="45" t="s">
        <v>22</v>
      </c>
      <c r="D12" s="45" t="s">
        <v>22</v>
      </c>
      <c r="E12" s="45" t="s">
        <v>22</v>
      </c>
      <c r="F12" s="45" t="s">
        <v>22</v>
      </c>
      <c r="G12" s="45" t="s">
        <v>22</v>
      </c>
      <c r="H12" s="45" t="s">
        <v>22</v>
      </c>
      <c r="I12" s="45" t="s">
        <v>22</v>
      </c>
      <c r="J12" s="45" t="s">
        <v>22</v>
      </c>
      <c r="K12" s="45" t="s">
        <v>22</v>
      </c>
      <c r="L12" s="45" t="s">
        <v>22</v>
      </c>
      <c r="M12" s="45" t="s">
        <v>22</v>
      </c>
      <c r="N12" s="45" t="s">
        <v>22</v>
      </c>
      <c r="O12" s="45" t="s">
        <v>22</v>
      </c>
      <c r="P12" s="45" t="s">
        <v>22</v>
      </c>
      <c r="Q12" s="9" t="s">
        <v>22</v>
      </c>
      <c r="R12" s="45" t="s">
        <v>23</v>
      </c>
      <c r="S12" s="45" t="s">
        <v>27</v>
      </c>
      <c r="T12" s="45" t="s">
        <v>27</v>
      </c>
      <c r="U12" s="45" t="s">
        <v>27</v>
      </c>
      <c r="V12" s="45" t="s">
        <v>23</v>
      </c>
      <c r="W12" s="45" t="s">
        <v>22</v>
      </c>
      <c r="X12" s="45" t="s">
        <v>22</v>
      </c>
      <c r="Y12" s="45" t="s">
        <v>21</v>
      </c>
      <c r="Z12" s="45" t="s">
        <v>23</v>
      </c>
      <c r="AA12" s="45" t="s">
        <v>23</v>
      </c>
      <c r="AB12" s="45" t="s">
        <v>27</v>
      </c>
      <c r="AC12" s="45" t="s">
        <v>23</v>
      </c>
      <c r="AD12" s="45" t="s">
        <v>21</v>
      </c>
      <c r="AE12" s="45" t="s">
        <v>22</v>
      </c>
      <c r="AF12" s="45" t="s">
        <v>21</v>
      </c>
      <c r="AG12" s="51" t="s">
        <v>22</v>
      </c>
    </row>
    <row r="13" spans="1:33" x14ac:dyDescent="0.2">
      <c r="A13" s="58">
        <v>10</v>
      </c>
      <c r="B13" s="45" t="s">
        <v>22</v>
      </c>
      <c r="C13" s="45" t="s">
        <v>22</v>
      </c>
      <c r="D13" s="45" t="s">
        <v>22</v>
      </c>
      <c r="E13" s="45" t="s">
        <v>22</v>
      </c>
      <c r="F13" s="45" t="s">
        <v>22</v>
      </c>
      <c r="G13" s="45" t="s">
        <v>22</v>
      </c>
      <c r="H13" s="45" t="s">
        <v>22</v>
      </c>
      <c r="I13" s="45" t="s">
        <v>22</v>
      </c>
      <c r="J13" s="45" t="s">
        <v>22</v>
      </c>
      <c r="K13" s="45" t="s">
        <v>22</v>
      </c>
      <c r="L13" s="45" t="s">
        <v>22</v>
      </c>
      <c r="M13" s="45" t="s">
        <v>22</v>
      </c>
      <c r="N13" s="45" t="s">
        <v>22</v>
      </c>
      <c r="O13" s="45" t="s">
        <v>22</v>
      </c>
      <c r="P13" s="45" t="s">
        <v>22</v>
      </c>
      <c r="Q13" s="9" t="s">
        <v>22</v>
      </c>
      <c r="R13" s="45" t="s">
        <v>21</v>
      </c>
      <c r="S13" s="45" t="s">
        <v>22</v>
      </c>
      <c r="T13" s="45" t="s">
        <v>22</v>
      </c>
      <c r="U13" s="45" t="s">
        <v>22</v>
      </c>
      <c r="V13" s="45" t="s">
        <v>22</v>
      </c>
      <c r="W13" s="45" t="s">
        <v>22</v>
      </c>
      <c r="X13" s="45" t="s">
        <v>22</v>
      </c>
      <c r="Y13" s="45" t="s">
        <v>22</v>
      </c>
      <c r="Z13" s="45" t="s">
        <v>22</v>
      </c>
      <c r="AA13" s="45" t="s">
        <v>21</v>
      </c>
      <c r="AB13" s="45" t="s">
        <v>22</v>
      </c>
      <c r="AC13" s="45" t="s">
        <v>22</v>
      </c>
      <c r="AD13" s="45" t="s">
        <v>22</v>
      </c>
      <c r="AE13" s="45" t="s">
        <v>22</v>
      </c>
      <c r="AF13" s="45" t="s">
        <v>22</v>
      </c>
      <c r="AG13" s="51" t="s">
        <v>22</v>
      </c>
    </row>
    <row r="14" spans="1:33" x14ac:dyDescent="0.2">
      <c r="A14" s="58">
        <v>11</v>
      </c>
      <c r="B14" s="45" t="s">
        <v>21</v>
      </c>
      <c r="C14" s="45" t="s">
        <v>23</v>
      </c>
      <c r="D14" s="45" t="s">
        <v>22</v>
      </c>
      <c r="E14" s="45" t="s">
        <v>22</v>
      </c>
      <c r="F14" s="45" t="s">
        <v>22</v>
      </c>
      <c r="G14" s="45" t="s">
        <v>22</v>
      </c>
      <c r="H14" s="45" t="s">
        <v>23</v>
      </c>
      <c r="I14" s="45" t="s">
        <v>22</v>
      </c>
      <c r="J14" s="45" t="s">
        <v>21</v>
      </c>
      <c r="K14" s="45" t="s">
        <v>22</v>
      </c>
      <c r="L14" s="45" t="s">
        <v>22</v>
      </c>
      <c r="M14" s="45" t="s">
        <v>22</v>
      </c>
      <c r="N14" s="45" t="s">
        <v>22</v>
      </c>
      <c r="O14" s="45" t="s">
        <v>22</v>
      </c>
      <c r="P14" s="45" t="s">
        <v>22</v>
      </c>
      <c r="Q14" s="9" t="s">
        <v>22</v>
      </c>
      <c r="R14" s="45" t="s">
        <v>27</v>
      </c>
      <c r="S14" s="45" t="s">
        <v>27</v>
      </c>
      <c r="T14" s="45" t="s">
        <v>22</v>
      </c>
      <c r="U14" s="45" t="s">
        <v>27</v>
      </c>
      <c r="V14" s="45" t="s">
        <v>27</v>
      </c>
      <c r="W14" s="45" t="s">
        <v>21</v>
      </c>
      <c r="X14" s="45" t="s">
        <v>22</v>
      </c>
      <c r="Y14" s="45" t="s">
        <v>23</v>
      </c>
      <c r="Z14" s="45" t="s">
        <v>21</v>
      </c>
      <c r="AA14" s="45" t="s">
        <v>22</v>
      </c>
      <c r="AB14" s="45" t="s">
        <v>22</v>
      </c>
      <c r="AC14" s="45" t="s">
        <v>22</v>
      </c>
      <c r="AD14" s="45" t="s">
        <v>22</v>
      </c>
      <c r="AE14" s="45" t="s">
        <v>22</v>
      </c>
      <c r="AF14" s="45" t="s">
        <v>22</v>
      </c>
      <c r="AG14" s="51" t="s">
        <v>22</v>
      </c>
    </row>
    <row r="15" spans="1:33" x14ac:dyDescent="0.2">
      <c r="A15" s="58">
        <v>12</v>
      </c>
      <c r="B15" s="45" t="s">
        <v>22</v>
      </c>
      <c r="C15" s="45" t="s">
        <v>21</v>
      </c>
      <c r="D15" s="45" t="s">
        <v>22</v>
      </c>
      <c r="E15" s="45" t="s">
        <v>22</v>
      </c>
      <c r="F15" s="45" t="s">
        <v>22</v>
      </c>
      <c r="G15" s="45" t="s">
        <v>21</v>
      </c>
      <c r="H15" s="45" t="s">
        <v>22</v>
      </c>
      <c r="I15" s="45" t="s">
        <v>22</v>
      </c>
      <c r="J15" s="45" t="s">
        <v>22</v>
      </c>
      <c r="K15" s="45" t="s">
        <v>22</v>
      </c>
      <c r="L15" s="45" t="s">
        <v>22</v>
      </c>
      <c r="M15" s="45" t="s">
        <v>22</v>
      </c>
      <c r="N15" s="45" t="s">
        <v>22</v>
      </c>
      <c r="O15" s="45" t="s">
        <v>21</v>
      </c>
      <c r="P15" s="45" t="s">
        <v>22</v>
      </c>
      <c r="Q15" s="9" t="s">
        <v>21</v>
      </c>
      <c r="R15" s="45" t="s">
        <v>22</v>
      </c>
      <c r="S15" s="45" t="s">
        <v>21</v>
      </c>
      <c r="T15" s="45" t="s">
        <v>22</v>
      </c>
      <c r="U15" s="45" t="s">
        <v>22</v>
      </c>
      <c r="V15" s="45" t="s">
        <v>22</v>
      </c>
      <c r="W15" s="45" t="s">
        <v>21</v>
      </c>
      <c r="X15" s="45" t="s">
        <v>22</v>
      </c>
      <c r="Y15" s="45" t="s">
        <v>22</v>
      </c>
      <c r="Z15" s="45" t="s">
        <v>22</v>
      </c>
      <c r="AA15" s="45" t="s">
        <v>21</v>
      </c>
      <c r="AB15" s="45" t="s">
        <v>22</v>
      </c>
      <c r="AC15" s="45" t="s">
        <v>22</v>
      </c>
      <c r="AD15" s="45" t="s">
        <v>22</v>
      </c>
      <c r="AE15" s="45" t="s">
        <v>21</v>
      </c>
      <c r="AF15" s="45" t="s">
        <v>22</v>
      </c>
      <c r="AG15" s="51" t="s">
        <v>21</v>
      </c>
    </row>
    <row r="16" spans="1:33" x14ac:dyDescent="0.2">
      <c r="A16" s="58">
        <v>13</v>
      </c>
      <c r="B16" s="45" t="s">
        <v>22</v>
      </c>
      <c r="C16" s="45" t="s">
        <v>23</v>
      </c>
      <c r="D16" s="45" t="s">
        <v>22</v>
      </c>
      <c r="E16" s="45" t="s">
        <v>21</v>
      </c>
      <c r="F16" s="45" t="s">
        <v>21</v>
      </c>
      <c r="G16" s="45" t="s">
        <v>22</v>
      </c>
      <c r="H16" s="45" t="s">
        <v>21</v>
      </c>
      <c r="I16" s="45" t="s">
        <v>22</v>
      </c>
      <c r="J16" s="45" t="s">
        <v>21</v>
      </c>
      <c r="K16" s="45" t="s">
        <v>22</v>
      </c>
      <c r="L16" s="45" t="s">
        <v>23</v>
      </c>
      <c r="M16" s="45" t="s">
        <v>22</v>
      </c>
      <c r="N16" s="45" t="s">
        <v>22</v>
      </c>
      <c r="O16" s="45" t="s">
        <v>22</v>
      </c>
      <c r="P16" s="45" t="s">
        <v>22</v>
      </c>
      <c r="Q16" s="9" t="s">
        <v>22</v>
      </c>
      <c r="R16" s="45" t="s">
        <v>23</v>
      </c>
      <c r="S16" s="45" t="s">
        <v>23</v>
      </c>
      <c r="T16" s="45" t="s">
        <v>21</v>
      </c>
      <c r="U16" s="45" t="s">
        <v>27</v>
      </c>
      <c r="V16" s="45" t="s">
        <v>21</v>
      </c>
      <c r="W16" s="45" t="s">
        <v>22</v>
      </c>
      <c r="X16" s="45" t="s">
        <v>22</v>
      </c>
      <c r="Y16" s="45" t="s">
        <v>21</v>
      </c>
      <c r="Z16" s="45" t="s">
        <v>21</v>
      </c>
      <c r="AA16" s="45" t="s">
        <v>23</v>
      </c>
      <c r="AB16" s="45" t="s">
        <v>23</v>
      </c>
      <c r="AC16" s="45" t="s">
        <v>23</v>
      </c>
      <c r="AD16" s="45" t="s">
        <v>21</v>
      </c>
      <c r="AE16" s="45" t="s">
        <v>22</v>
      </c>
      <c r="AF16" s="45" t="s">
        <v>22</v>
      </c>
      <c r="AG16" s="51" t="s">
        <v>22</v>
      </c>
    </row>
    <row r="17" spans="1:33" x14ac:dyDescent="0.2">
      <c r="A17" s="58">
        <v>14</v>
      </c>
      <c r="B17" s="45" t="s">
        <v>22</v>
      </c>
      <c r="C17" s="45" t="s">
        <v>21</v>
      </c>
      <c r="D17" s="45" t="s">
        <v>22</v>
      </c>
      <c r="E17" s="45" t="s">
        <v>21</v>
      </c>
      <c r="F17" s="45" t="s">
        <v>21</v>
      </c>
      <c r="G17" s="45" t="s">
        <v>22</v>
      </c>
      <c r="H17" s="45" t="s">
        <v>21</v>
      </c>
      <c r="I17" s="45" t="s">
        <v>22</v>
      </c>
      <c r="J17" s="45" t="s">
        <v>21</v>
      </c>
      <c r="K17" s="45" t="s">
        <v>21</v>
      </c>
      <c r="L17" s="45" t="s">
        <v>22</v>
      </c>
      <c r="M17" s="45" t="s">
        <v>22</v>
      </c>
      <c r="N17" s="45" t="s">
        <v>21</v>
      </c>
      <c r="O17" s="45" t="s">
        <v>22</v>
      </c>
      <c r="P17" s="45" t="s">
        <v>22</v>
      </c>
      <c r="Q17" s="9" t="s">
        <v>22</v>
      </c>
      <c r="R17" s="45" t="s">
        <v>21</v>
      </c>
      <c r="S17" s="45" t="s">
        <v>21</v>
      </c>
      <c r="T17" s="45" t="s">
        <v>21</v>
      </c>
      <c r="U17" s="45" t="s">
        <v>22</v>
      </c>
      <c r="V17" s="45" t="s">
        <v>23</v>
      </c>
      <c r="W17" s="45" t="s">
        <v>22</v>
      </c>
      <c r="X17" s="45" t="s">
        <v>21</v>
      </c>
      <c r="Y17" s="45" t="s">
        <v>21</v>
      </c>
      <c r="Z17" s="45" t="s">
        <v>21</v>
      </c>
      <c r="AA17" s="45" t="s">
        <v>23</v>
      </c>
      <c r="AB17" s="45" t="s">
        <v>22</v>
      </c>
      <c r="AC17" s="45" t="s">
        <v>22</v>
      </c>
      <c r="AD17" s="45" t="s">
        <v>21</v>
      </c>
      <c r="AE17" s="45" t="s">
        <v>22</v>
      </c>
      <c r="AF17" s="45" t="s">
        <v>21</v>
      </c>
      <c r="AG17" s="51" t="s">
        <v>22</v>
      </c>
    </row>
    <row r="18" spans="1:33" x14ac:dyDescent="0.2">
      <c r="A18" s="58">
        <v>15</v>
      </c>
      <c r="B18" s="45" t="s">
        <v>21</v>
      </c>
      <c r="C18" s="45" t="s">
        <v>22</v>
      </c>
      <c r="D18" s="45" t="s">
        <v>22</v>
      </c>
      <c r="E18" s="45" t="s">
        <v>22</v>
      </c>
      <c r="F18" s="45" t="s">
        <v>22</v>
      </c>
      <c r="G18" s="45" t="s">
        <v>22</v>
      </c>
      <c r="H18" s="45" t="s">
        <v>21</v>
      </c>
      <c r="I18" s="45" t="s">
        <v>22</v>
      </c>
      <c r="J18" s="45" t="s">
        <v>22</v>
      </c>
      <c r="K18" s="45" t="s">
        <v>22</v>
      </c>
      <c r="L18" s="45" t="s">
        <v>22</v>
      </c>
      <c r="M18" s="45" t="s">
        <v>22</v>
      </c>
      <c r="N18" s="45" t="s">
        <v>22</v>
      </c>
      <c r="O18" s="45" t="s">
        <v>22</v>
      </c>
      <c r="P18" s="45" t="s">
        <v>22</v>
      </c>
      <c r="Q18" s="9" t="s">
        <v>22</v>
      </c>
      <c r="R18" s="45" t="s">
        <v>22</v>
      </c>
      <c r="S18" s="45" t="s">
        <v>22</v>
      </c>
      <c r="T18" s="45" t="s">
        <v>21</v>
      </c>
      <c r="U18" s="45" t="s">
        <v>21</v>
      </c>
      <c r="V18" s="45" t="s">
        <v>22</v>
      </c>
      <c r="W18" s="45" t="s">
        <v>22</v>
      </c>
      <c r="X18" s="45" t="s">
        <v>22</v>
      </c>
      <c r="Y18" s="45" t="s">
        <v>22</v>
      </c>
      <c r="Z18" s="45" t="s">
        <v>22</v>
      </c>
      <c r="AA18" s="45" t="s">
        <v>22</v>
      </c>
      <c r="AB18" s="45" t="s">
        <v>22</v>
      </c>
      <c r="AC18" s="45" t="s">
        <v>22</v>
      </c>
      <c r="AD18" s="45" t="s">
        <v>22</v>
      </c>
      <c r="AE18" s="45" t="s">
        <v>22</v>
      </c>
      <c r="AF18" s="45" t="s">
        <v>22</v>
      </c>
      <c r="AG18" s="51" t="s">
        <v>22</v>
      </c>
    </row>
    <row r="19" spans="1:33" x14ac:dyDescent="0.2">
      <c r="A19" s="58">
        <v>16</v>
      </c>
      <c r="B19" s="45" t="s">
        <v>21</v>
      </c>
      <c r="C19" s="45" t="s">
        <v>23</v>
      </c>
      <c r="D19" s="45" t="s">
        <v>22</v>
      </c>
      <c r="E19" s="45" t="s">
        <v>22</v>
      </c>
      <c r="F19" s="45" t="s">
        <v>21</v>
      </c>
      <c r="G19" s="45" t="s">
        <v>22</v>
      </c>
      <c r="H19" s="45" t="s">
        <v>21</v>
      </c>
      <c r="I19" s="45" t="s">
        <v>22</v>
      </c>
      <c r="J19" s="45" t="s">
        <v>21</v>
      </c>
      <c r="K19" s="45" t="s">
        <v>21</v>
      </c>
      <c r="L19" s="45" t="s">
        <v>22</v>
      </c>
      <c r="M19" s="45" t="s">
        <v>22</v>
      </c>
      <c r="N19" s="45" t="s">
        <v>22</v>
      </c>
      <c r="O19" s="45" t="s">
        <v>22</v>
      </c>
      <c r="P19" s="45" t="s">
        <v>21</v>
      </c>
      <c r="Q19" s="9" t="s">
        <v>22</v>
      </c>
      <c r="R19" s="45" t="s">
        <v>22</v>
      </c>
      <c r="S19" s="45" t="s">
        <v>23</v>
      </c>
      <c r="T19" s="45" t="s">
        <v>21</v>
      </c>
      <c r="U19" s="45" t="s">
        <v>21</v>
      </c>
      <c r="V19" s="45" t="s">
        <v>21</v>
      </c>
      <c r="W19" s="45" t="s">
        <v>22</v>
      </c>
      <c r="X19" s="45" t="s">
        <v>21</v>
      </c>
      <c r="Y19" s="45" t="s">
        <v>22</v>
      </c>
      <c r="Z19" s="45" t="s">
        <v>21</v>
      </c>
      <c r="AA19" s="45" t="s">
        <v>21</v>
      </c>
      <c r="AB19" s="45" t="s">
        <v>22</v>
      </c>
      <c r="AC19" s="45" t="s">
        <v>22</v>
      </c>
      <c r="AD19" s="45" t="s">
        <v>22</v>
      </c>
      <c r="AE19" s="45" t="s">
        <v>22</v>
      </c>
      <c r="AF19" s="45" t="s">
        <v>22</v>
      </c>
      <c r="AG19" s="51" t="s">
        <v>22</v>
      </c>
    </row>
    <row r="20" spans="1:33" x14ac:dyDescent="0.2">
      <c r="A20" s="58">
        <v>17</v>
      </c>
      <c r="B20" s="45" t="s">
        <v>22</v>
      </c>
      <c r="C20" s="45" t="s">
        <v>21</v>
      </c>
      <c r="D20" s="45" t="s">
        <v>22</v>
      </c>
      <c r="E20" s="45" t="s">
        <v>22</v>
      </c>
      <c r="F20" s="45" t="s">
        <v>22</v>
      </c>
      <c r="G20" s="45" t="s">
        <v>22</v>
      </c>
      <c r="H20" s="45" t="s">
        <v>27</v>
      </c>
      <c r="I20" s="45" t="s">
        <v>22</v>
      </c>
      <c r="J20" s="45" t="s">
        <v>21</v>
      </c>
      <c r="K20" s="45" t="s">
        <v>22</v>
      </c>
      <c r="L20" s="45" t="s">
        <v>22</v>
      </c>
      <c r="M20" s="45" t="s">
        <v>22</v>
      </c>
      <c r="N20" s="45" t="s">
        <v>22</v>
      </c>
      <c r="O20" s="45" t="s">
        <v>22</v>
      </c>
      <c r="P20" s="45" t="s">
        <v>22</v>
      </c>
      <c r="Q20" s="9" t="s">
        <v>22</v>
      </c>
      <c r="R20" s="45" t="s">
        <v>22</v>
      </c>
      <c r="S20" s="45" t="s">
        <v>21</v>
      </c>
      <c r="T20" s="45" t="s">
        <v>22</v>
      </c>
      <c r="U20" s="45" t="s">
        <v>22</v>
      </c>
      <c r="V20" s="45" t="s">
        <v>22</v>
      </c>
      <c r="W20" s="45" t="s">
        <v>22</v>
      </c>
      <c r="X20" s="45" t="s">
        <v>21</v>
      </c>
      <c r="Y20" s="45" t="s">
        <v>22</v>
      </c>
      <c r="Z20" s="45" t="s">
        <v>21</v>
      </c>
      <c r="AA20" s="45" t="s">
        <v>22</v>
      </c>
      <c r="AB20" s="45" t="s">
        <v>22</v>
      </c>
      <c r="AC20" s="45" t="s">
        <v>22</v>
      </c>
      <c r="AD20" s="45" t="s">
        <v>22</v>
      </c>
      <c r="AE20" s="45" t="s">
        <v>22</v>
      </c>
      <c r="AF20" s="45" t="s">
        <v>22</v>
      </c>
      <c r="AG20" s="51" t="s">
        <v>22</v>
      </c>
    </row>
    <row r="21" spans="1:33" x14ac:dyDescent="0.2">
      <c r="A21" s="58">
        <v>18</v>
      </c>
      <c r="B21" s="45" t="s">
        <v>22</v>
      </c>
      <c r="C21" s="45" t="s">
        <v>21</v>
      </c>
      <c r="D21" s="45" t="s">
        <v>22</v>
      </c>
      <c r="E21" s="45" t="s">
        <v>22</v>
      </c>
      <c r="F21" s="45" t="s">
        <v>22</v>
      </c>
      <c r="G21" s="45" t="s">
        <v>22</v>
      </c>
      <c r="H21" s="45" t="s">
        <v>21</v>
      </c>
      <c r="I21" s="45" t="s">
        <v>22</v>
      </c>
      <c r="J21" s="45" t="s">
        <v>21</v>
      </c>
      <c r="K21" s="45" t="s">
        <v>22</v>
      </c>
      <c r="L21" s="45" t="s">
        <v>22</v>
      </c>
      <c r="M21" s="45" t="s">
        <v>22</v>
      </c>
      <c r="N21" s="45" t="s">
        <v>22</v>
      </c>
      <c r="O21" s="45" t="s">
        <v>22</v>
      </c>
      <c r="P21" s="45" t="s">
        <v>22</v>
      </c>
      <c r="Q21" s="9" t="s">
        <v>22</v>
      </c>
      <c r="R21" s="45" t="s">
        <v>22</v>
      </c>
      <c r="S21" s="45" t="s">
        <v>22</v>
      </c>
      <c r="T21" s="45" t="s">
        <v>22</v>
      </c>
      <c r="U21" s="45" t="s">
        <v>21</v>
      </c>
      <c r="V21" s="45" t="s">
        <v>22</v>
      </c>
      <c r="W21" s="45" t="s">
        <v>22</v>
      </c>
      <c r="X21" s="45" t="s">
        <v>22</v>
      </c>
      <c r="Y21" s="45" t="s">
        <v>22</v>
      </c>
      <c r="Z21" s="45" t="s">
        <v>22</v>
      </c>
      <c r="AA21" s="45" t="s">
        <v>21</v>
      </c>
      <c r="AB21" s="45" t="s">
        <v>21</v>
      </c>
      <c r="AC21" s="45" t="s">
        <v>22</v>
      </c>
      <c r="AD21" s="45" t="s">
        <v>22</v>
      </c>
      <c r="AE21" s="45" t="s">
        <v>22</v>
      </c>
      <c r="AF21" s="45" t="s">
        <v>22</v>
      </c>
      <c r="AG21" s="51" t="s">
        <v>22</v>
      </c>
    </row>
    <row r="22" spans="1:33" x14ac:dyDescent="0.2">
      <c r="A22" s="58">
        <v>19</v>
      </c>
      <c r="B22" s="45" t="s">
        <v>21</v>
      </c>
      <c r="C22" s="45" t="s">
        <v>22</v>
      </c>
      <c r="D22" s="45" t="s">
        <v>22</v>
      </c>
      <c r="E22" s="45" t="s">
        <v>22</v>
      </c>
      <c r="F22" s="45" t="s">
        <v>21</v>
      </c>
      <c r="G22" s="45" t="s">
        <v>22</v>
      </c>
      <c r="H22" s="45" t="s">
        <v>22</v>
      </c>
      <c r="I22" s="45" t="s">
        <v>22</v>
      </c>
      <c r="J22" s="45" t="s">
        <v>21</v>
      </c>
      <c r="K22" s="45" t="s">
        <v>22</v>
      </c>
      <c r="L22" s="45" t="s">
        <v>22</v>
      </c>
      <c r="M22" s="45" t="s">
        <v>22</v>
      </c>
      <c r="N22" s="45" t="s">
        <v>22</v>
      </c>
      <c r="O22" s="45" t="s">
        <v>22</v>
      </c>
      <c r="P22" s="45" t="s">
        <v>22</v>
      </c>
      <c r="Q22" s="9" t="s">
        <v>22</v>
      </c>
      <c r="R22" s="45" t="s">
        <v>22</v>
      </c>
      <c r="S22" s="46" t="s">
        <v>21</v>
      </c>
      <c r="T22" s="45" t="s">
        <v>21</v>
      </c>
      <c r="U22" s="45" t="s">
        <v>21</v>
      </c>
      <c r="V22" s="45" t="s">
        <v>21</v>
      </c>
      <c r="W22" s="46" t="s">
        <v>22</v>
      </c>
      <c r="X22" s="46" t="s">
        <v>22</v>
      </c>
      <c r="Y22" s="45" t="s">
        <v>23</v>
      </c>
      <c r="Z22" s="45" t="s">
        <v>21</v>
      </c>
      <c r="AA22" s="45" t="s">
        <v>22</v>
      </c>
      <c r="AB22" s="45" t="s">
        <v>22</v>
      </c>
      <c r="AC22" s="45" t="s">
        <v>22</v>
      </c>
      <c r="AD22" s="45" t="s">
        <v>22</v>
      </c>
      <c r="AE22" s="45" t="s">
        <v>22</v>
      </c>
      <c r="AF22" s="45" t="s">
        <v>22</v>
      </c>
      <c r="AG22" s="51" t="s">
        <v>22</v>
      </c>
    </row>
    <row r="23" spans="1:33" x14ac:dyDescent="0.2">
      <c r="A23" s="58">
        <v>20</v>
      </c>
      <c r="B23" s="45" t="s">
        <v>22</v>
      </c>
      <c r="C23" s="45" t="s">
        <v>21</v>
      </c>
      <c r="D23" s="45" t="s">
        <v>22</v>
      </c>
      <c r="E23" s="45" t="s">
        <v>22</v>
      </c>
      <c r="F23" s="45" t="s">
        <v>22</v>
      </c>
      <c r="G23" s="45" t="s">
        <v>22</v>
      </c>
      <c r="H23" s="45" t="s">
        <v>22</v>
      </c>
      <c r="I23" s="45" t="s">
        <v>22</v>
      </c>
      <c r="J23" s="45" t="s">
        <v>22</v>
      </c>
      <c r="K23" s="45" t="s">
        <v>22</v>
      </c>
      <c r="L23" s="45" t="s">
        <v>22</v>
      </c>
      <c r="M23" s="45" t="s">
        <v>22</v>
      </c>
      <c r="N23" s="45" t="s">
        <v>22</v>
      </c>
      <c r="O23" s="45" t="s">
        <v>22</v>
      </c>
      <c r="P23" s="45" t="s">
        <v>22</v>
      </c>
      <c r="Q23" s="9" t="s">
        <v>22</v>
      </c>
      <c r="R23" s="45" t="s">
        <v>22</v>
      </c>
      <c r="S23" s="45" t="s">
        <v>21</v>
      </c>
      <c r="T23" s="45" t="s">
        <v>22</v>
      </c>
      <c r="U23" s="45" t="s">
        <v>22</v>
      </c>
      <c r="V23" s="45" t="s">
        <v>22</v>
      </c>
      <c r="W23" s="45" t="s">
        <v>22</v>
      </c>
      <c r="X23" s="45" t="s">
        <v>22</v>
      </c>
      <c r="Y23" s="45" t="s">
        <v>21</v>
      </c>
      <c r="Z23" s="45" t="s">
        <v>22</v>
      </c>
      <c r="AA23" s="45" t="s">
        <v>21</v>
      </c>
      <c r="AB23" s="45" t="s">
        <v>22</v>
      </c>
      <c r="AC23" s="45" t="s">
        <v>22</v>
      </c>
      <c r="AD23" s="45" t="s">
        <v>22</v>
      </c>
      <c r="AE23" s="45" t="s">
        <v>22</v>
      </c>
      <c r="AF23" s="45" t="s">
        <v>21</v>
      </c>
      <c r="AG23" s="51" t="s">
        <v>22</v>
      </c>
    </row>
    <row r="24" spans="1:33" x14ac:dyDescent="0.2">
      <c r="A24" s="58">
        <v>21</v>
      </c>
      <c r="B24" s="45" t="s">
        <v>22</v>
      </c>
      <c r="C24" s="45" t="s">
        <v>22</v>
      </c>
      <c r="D24" s="45" t="s">
        <v>22</v>
      </c>
      <c r="E24" s="45" t="s">
        <v>22</v>
      </c>
      <c r="F24" s="45" t="s">
        <v>22</v>
      </c>
      <c r="G24" s="45" t="s">
        <v>22</v>
      </c>
      <c r="H24" s="45" t="s">
        <v>22</v>
      </c>
      <c r="I24" s="45" t="s">
        <v>22</v>
      </c>
      <c r="J24" s="45" t="s">
        <v>22</v>
      </c>
      <c r="K24" s="45" t="s">
        <v>22</v>
      </c>
      <c r="L24" s="45" t="s">
        <v>22</v>
      </c>
      <c r="M24" s="45" t="s">
        <v>22</v>
      </c>
      <c r="N24" s="45" t="s">
        <v>22</v>
      </c>
      <c r="O24" s="45" t="s">
        <v>22</v>
      </c>
      <c r="P24" s="45" t="s">
        <v>22</v>
      </c>
      <c r="Q24" s="9" t="s">
        <v>22</v>
      </c>
      <c r="R24" s="45" t="s">
        <v>22</v>
      </c>
      <c r="S24" s="45" t="s">
        <v>22</v>
      </c>
      <c r="T24" s="45" t="s">
        <v>22</v>
      </c>
      <c r="U24" s="45" t="s">
        <v>21</v>
      </c>
      <c r="V24" s="45" t="s">
        <v>22</v>
      </c>
      <c r="W24" s="45" t="s">
        <v>22</v>
      </c>
      <c r="X24" s="45" t="s">
        <v>22</v>
      </c>
      <c r="Y24" s="45" t="s">
        <v>22</v>
      </c>
      <c r="Z24" s="45" t="s">
        <v>22</v>
      </c>
      <c r="AA24" s="45" t="s">
        <v>21</v>
      </c>
      <c r="AB24" s="45" t="s">
        <v>22</v>
      </c>
      <c r="AC24" s="45" t="s">
        <v>22</v>
      </c>
      <c r="AD24" s="45" t="s">
        <v>22</v>
      </c>
      <c r="AE24" s="45" t="s">
        <v>22</v>
      </c>
      <c r="AF24" s="45" t="s">
        <v>22</v>
      </c>
      <c r="AG24" s="51" t="s">
        <v>22</v>
      </c>
    </row>
    <row r="25" spans="1:33" x14ac:dyDescent="0.2">
      <c r="A25" s="58">
        <v>22</v>
      </c>
      <c r="B25" s="45" t="s">
        <v>21</v>
      </c>
      <c r="C25" s="45" t="s">
        <v>21</v>
      </c>
      <c r="D25" s="45" t="s">
        <v>21</v>
      </c>
      <c r="E25" s="45" t="s">
        <v>22</v>
      </c>
      <c r="F25" s="45" t="s">
        <v>22</v>
      </c>
      <c r="G25" s="45" t="s">
        <v>22</v>
      </c>
      <c r="H25" s="45" t="s">
        <v>21</v>
      </c>
      <c r="I25" s="45" t="s">
        <v>22</v>
      </c>
      <c r="J25" s="45" t="s">
        <v>22</v>
      </c>
      <c r="K25" s="45" t="s">
        <v>21</v>
      </c>
      <c r="L25" s="45" t="s">
        <v>22</v>
      </c>
      <c r="M25" s="45" t="s">
        <v>22</v>
      </c>
      <c r="N25" s="45" t="s">
        <v>22</v>
      </c>
      <c r="O25" s="45" t="s">
        <v>22</v>
      </c>
      <c r="P25" s="45" t="s">
        <v>22</v>
      </c>
      <c r="Q25" s="9" t="s">
        <v>22</v>
      </c>
      <c r="R25" s="45" t="s">
        <v>21</v>
      </c>
      <c r="S25" s="45" t="s">
        <v>22</v>
      </c>
      <c r="T25" s="45" t="s">
        <v>23</v>
      </c>
      <c r="U25" s="45" t="s">
        <v>22</v>
      </c>
      <c r="V25" s="45" t="s">
        <v>22</v>
      </c>
      <c r="W25" s="45" t="s">
        <v>22</v>
      </c>
      <c r="X25" s="45" t="s">
        <v>21</v>
      </c>
      <c r="Y25" s="45" t="s">
        <v>22</v>
      </c>
      <c r="Z25" s="45" t="s">
        <v>21</v>
      </c>
      <c r="AA25" s="45" t="s">
        <v>23</v>
      </c>
      <c r="AB25" s="45" t="s">
        <v>22</v>
      </c>
      <c r="AC25" s="45" t="s">
        <v>22</v>
      </c>
      <c r="AD25" s="45" t="s">
        <v>22</v>
      </c>
      <c r="AE25" s="45" t="s">
        <v>22</v>
      </c>
      <c r="AF25" s="45" t="s">
        <v>22</v>
      </c>
      <c r="AG25" s="51" t="s">
        <v>22</v>
      </c>
    </row>
    <row r="26" spans="1:33" x14ac:dyDescent="0.2">
      <c r="A26" s="58">
        <v>23</v>
      </c>
      <c r="B26" s="45" t="s">
        <v>21</v>
      </c>
      <c r="C26" s="45" t="s">
        <v>21</v>
      </c>
      <c r="D26" s="45" t="s">
        <v>22</v>
      </c>
      <c r="E26" s="45" t="s">
        <v>21</v>
      </c>
      <c r="F26" s="45" t="s">
        <v>22</v>
      </c>
      <c r="G26" s="45" t="s">
        <v>22</v>
      </c>
      <c r="H26" s="45" t="s">
        <v>22</v>
      </c>
      <c r="I26" s="45" t="s">
        <v>22</v>
      </c>
      <c r="J26" s="45" t="s">
        <v>21</v>
      </c>
      <c r="K26" s="45" t="s">
        <v>21</v>
      </c>
      <c r="L26" s="45" t="s">
        <v>22</v>
      </c>
      <c r="M26" s="45" t="s">
        <v>22</v>
      </c>
      <c r="N26" s="45" t="s">
        <v>22</v>
      </c>
      <c r="O26" s="45" t="s">
        <v>22</v>
      </c>
      <c r="P26" s="45" t="s">
        <v>22</v>
      </c>
      <c r="Q26" s="9" t="s">
        <v>22</v>
      </c>
      <c r="R26" s="45" t="s">
        <v>21</v>
      </c>
      <c r="S26" s="45" t="s">
        <v>21</v>
      </c>
      <c r="T26" s="45" t="s">
        <v>22</v>
      </c>
      <c r="U26" s="45" t="s">
        <v>21</v>
      </c>
      <c r="V26" s="45" t="s">
        <v>21</v>
      </c>
      <c r="W26" s="45" t="s">
        <v>22</v>
      </c>
      <c r="X26" s="45" t="s">
        <v>22</v>
      </c>
      <c r="Y26" s="45" t="s">
        <v>22</v>
      </c>
      <c r="Z26" s="45" t="s">
        <v>21</v>
      </c>
      <c r="AA26" s="45" t="s">
        <v>22</v>
      </c>
      <c r="AB26" s="45" t="s">
        <v>21</v>
      </c>
      <c r="AC26" s="45" t="s">
        <v>22</v>
      </c>
      <c r="AD26" s="45" t="s">
        <v>22</v>
      </c>
      <c r="AE26" s="45" t="s">
        <v>22</v>
      </c>
      <c r="AF26" s="45" t="s">
        <v>22</v>
      </c>
      <c r="AG26" s="51" t="s">
        <v>22</v>
      </c>
    </row>
    <row r="27" spans="1:33" x14ac:dyDescent="0.2">
      <c r="A27" s="58">
        <v>24</v>
      </c>
      <c r="B27" s="45" t="s">
        <v>22</v>
      </c>
      <c r="C27" s="45" t="s">
        <v>21</v>
      </c>
      <c r="D27" s="45" t="s">
        <v>22</v>
      </c>
      <c r="E27" s="45" t="s">
        <v>22</v>
      </c>
      <c r="F27" s="45" t="s">
        <v>22</v>
      </c>
      <c r="G27" s="45" t="s">
        <v>22</v>
      </c>
      <c r="H27" s="45" t="s">
        <v>22</v>
      </c>
      <c r="I27" s="45" t="s">
        <v>22</v>
      </c>
      <c r="J27" s="45" t="s">
        <v>22</v>
      </c>
      <c r="K27" s="45" t="s">
        <v>22</v>
      </c>
      <c r="L27" s="45" t="s">
        <v>22</v>
      </c>
      <c r="M27" s="45" t="s">
        <v>22</v>
      </c>
      <c r="N27" s="45" t="s">
        <v>22</v>
      </c>
      <c r="O27" s="45" t="s">
        <v>22</v>
      </c>
      <c r="P27" s="45" t="s">
        <v>22</v>
      </c>
      <c r="Q27" s="9" t="s">
        <v>22</v>
      </c>
      <c r="R27" s="45" t="s">
        <v>22</v>
      </c>
      <c r="S27" s="45" t="s">
        <v>21</v>
      </c>
      <c r="T27" s="45" t="s">
        <v>22</v>
      </c>
      <c r="U27" s="45" t="s">
        <v>21</v>
      </c>
      <c r="V27" s="45" t="s">
        <v>22</v>
      </c>
      <c r="W27" s="45" t="s">
        <v>22</v>
      </c>
      <c r="X27" s="45" t="s">
        <v>22</v>
      </c>
      <c r="Y27" s="45" t="s">
        <v>22</v>
      </c>
      <c r="Z27" s="45" t="s">
        <v>22</v>
      </c>
      <c r="AA27" s="45" t="s">
        <v>22</v>
      </c>
      <c r="AB27" s="45" t="s">
        <v>22</v>
      </c>
      <c r="AC27" s="45" t="s">
        <v>22</v>
      </c>
      <c r="AD27" s="45" t="s">
        <v>22</v>
      </c>
      <c r="AE27" s="45" t="s">
        <v>22</v>
      </c>
      <c r="AF27" s="45" t="s">
        <v>22</v>
      </c>
      <c r="AG27" s="51" t="s">
        <v>22</v>
      </c>
    </row>
    <row r="28" spans="1:33" x14ac:dyDescent="0.2">
      <c r="A28" s="58">
        <v>25</v>
      </c>
      <c r="B28" s="45" t="s">
        <v>22</v>
      </c>
      <c r="C28" s="45" t="s">
        <v>23</v>
      </c>
      <c r="D28" s="45" t="s">
        <v>21</v>
      </c>
      <c r="E28" s="45" t="s">
        <v>22</v>
      </c>
      <c r="F28" s="45" t="s">
        <v>21</v>
      </c>
      <c r="G28" s="45" t="s">
        <v>21</v>
      </c>
      <c r="H28" s="45" t="s">
        <v>22</v>
      </c>
      <c r="I28" s="45" t="s">
        <v>22</v>
      </c>
      <c r="J28" s="45" t="s">
        <v>21</v>
      </c>
      <c r="K28" s="45" t="s">
        <v>21</v>
      </c>
      <c r="L28" s="45" t="s">
        <v>22</v>
      </c>
      <c r="M28" s="45" t="s">
        <v>22</v>
      </c>
      <c r="N28" s="45" t="s">
        <v>22</v>
      </c>
      <c r="O28" s="45" t="s">
        <v>22</v>
      </c>
      <c r="P28" s="45" t="s">
        <v>21</v>
      </c>
      <c r="Q28" s="9" t="s">
        <v>22</v>
      </c>
      <c r="R28" s="45" t="s">
        <v>21</v>
      </c>
      <c r="S28" s="45" t="s">
        <v>21</v>
      </c>
      <c r="T28" s="45" t="s">
        <v>21</v>
      </c>
      <c r="U28" s="45" t="s">
        <v>23</v>
      </c>
      <c r="V28" s="45" t="s">
        <v>22</v>
      </c>
      <c r="W28" s="45" t="s">
        <v>22</v>
      </c>
      <c r="X28" s="45" t="s">
        <v>22</v>
      </c>
      <c r="Y28" s="45" t="s">
        <v>21</v>
      </c>
      <c r="Z28" s="45" t="s">
        <v>22</v>
      </c>
      <c r="AA28" s="45" t="s">
        <v>21</v>
      </c>
      <c r="AB28" s="45" t="s">
        <v>21</v>
      </c>
      <c r="AC28" s="45" t="s">
        <v>22</v>
      </c>
      <c r="AD28" s="45" t="s">
        <v>22</v>
      </c>
      <c r="AE28" s="45" t="s">
        <v>22</v>
      </c>
      <c r="AF28" s="45" t="s">
        <v>22</v>
      </c>
      <c r="AG28" s="51" t="s">
        <v>22</v>
      </c>
    </row>
    <row r="29" spans="1:33" x14ac:dyDescent="0.2">
      <c r="A29" s="58">
        <v>26</v>
      </c>
      <c r="B29" s="45" t="s">
        <v>22</v>
      </c>
      <c r="C29" s="45" t="s">
        <v>21</v>
      </c>
      <c r="D29" s="45" t="s">
        <v>22</v>
      </c>
      <c r="E29" s="45" t="s">
        <v>22</v>
      </c>
      <c r="F29" s="45" t="s">
        <v>22</v>
      </c>
      <c r="G29" s="45" t="s">
        <v>22</v>
      </c>
      <c r="H29" s="45" t="s">
        <v>22</v>
      </c>
      <c r="I29" s="45" t="s">
        <v>22</v>
      </c>
      <c r="J29" s="45" t="s">
        <v>22</v>
      </c>
      <c r="K29" s="45" t="s">
        <v>22</v>
      </c>
      <c r="L29" s="45" t="s">
        <v>22</v>
      </c>
      <c r="M29" s="45" t="s">
        <v>22</v>
      </c>
      <c r="N29" s="45" t="s">
        <v>22</v>
      </c>
      <c r="O29" s="45" t="s">
        <v>22</v>
      </c>
      <c r="P29" s="45" t="s">
        <v>22</v>
      </c>
      <c r="Q29" s="9" t="s">
        <v>22</v>
      </c>
      <c r="R29" s="45" t="s">
        <v>21</v>
      </c>
      <c r="S29" s="45" t="s">
        <v>22</v>
      </c>
      <c r="T29" s="45" t="s">
        <v>22</v>
      </c>
      <c r="U29" s="45" t="s">
        <v>22</v>
      </c>
      <c r="V29" s="45" t="s">
        <v>21</v>
      </c>
      <c r="W29" s="45" t="s">
        <v>22</v>
      </c>
      <c r="X29" s="45" t="s">
        <v>22</v>
      </c>
      <c r="Y29" s="45" t="s">
        <v>22</v>
      </c>
      <c r="Z29" s="45" t="s">
        <v>22</v>
      </c>
      <c r="AA29" s="45" t="s">
        <v>23</v>
      </c>
      <c r="AB29" s="45" t="s">
        <v>22</v>
      </c>
      <c r="AC29" s="45" t="s">
        <v>21</v>
      </c>
      <c r="AD29" s="45" t="s">
        <v>22</v>
      </c>
      <c r="AE29" s="45" t="s">
        <v>22</v>
      </c>
      <c r="AF29" s="45" t="s">
        <v>22</v>
      </c>
      <c r="AG29" s="51" t="s">
        <v>22</v>
      </c>
    </row>
    <row r="30" spans="1:33" x14ac:dyDescent="0.2">
      <c r="A30" s="58">
        <v>27</v>
      </c>
      <c r="B30" s="45" t="s">
        <v>22</v>
      </c>
      <c r="C30" s="45" t="s">
        <v>21</v>
      </c>
      <c r="D30" s="45" t="s">
        <v>22</v>
      </c>
      <c r="E30" s="45" t="s">
        <v>21</v>
      </c>
      <c r="F30" s="45" t="s">
        <v>21</v>
      </c>
      <c r="G30" s="45" t="s">
        <v>22</v>
      </c>
      <c r="H30" s="45" t="s">
        <v>22</v>
      </c>
      <c r="I30" s="45" t="s">
        <v>22</v>
      </c>
      <c r="J30" s="45" t="s">
        <v>22</v>
      </c>
      <c r="K30" s="45" t="s">
        <v>22</v>
      </c>
      <c r="L30" s="45" t="s">
        <v>22</v>
      </c>
      <c r="M30" s="45" t="s">
        <v>22</v>
      </c>
      <c r="N30" s="45" t="s">
        <v>22</v>
      </c>
      <c r="O30" s="45" t="s">
        <v>22</v>
      </c>
      <c r="P30" s="45" t="s">
        <v>22</v>
      </c>
      <c r="Q30" s="9" t="s">
        <v>22</v>
      </c>
      <c r="R30" s="45" t="s">
        <v>21</v>
      </c>
      <c r="S30" s="45" t="s">
        <v>21</v>
      </c>
      <c r="T30" s="45" t="s">
        <v>23</v>
      </c>
      <c r="U30" s="45" t="s">
        <v>23</v>
      </c>
      <c r="V30" s="45" t="s">
        <v>21</v>
      </c>
      <c r="W30" s="45" t="s">
        <v>22</v>
      </c>
      <c r="X30" s="45" t="s">
        <v>22</v>
      </c>
      <c r="Y30" s="45" t="s">
        <v>23</v>
      </c>
      <c r="Z30" s="45" t="s">
        <v>21</v>
      </c>
      <c r="AA30" s="45" t="s">
        <v>21</v>
      </c>
      <c r="AB30" s="45" t="s">
        <v>21</v>
      </c>
      <c r="AC30" s="45" t="s">
        <v>22</v>
      </c>
      <c r="AD30" s="45" t="s">
        <v>22</v>
      </c>
      <c r="AE30" s="45" t="s">
        <v>22</v>
      </c>
      <c r="AF30" s="45" t="s">
        <v>22</v>
      </c>
      <c r="AG30" s="51" t="s">
        <v>22</v>
      </c>
    </row>
    <row r="31" spans="1:33" x14ac:dyDescent="0.2">
      <c r="A31" s="58">
        <v>28</v>
      </c>
      <c r="B31" s="45" t="s">
        <v>22</v>
      </c>
      <c r="C31" s="45" t="s">
        <v>21</v>
      </c>
      <c r="D31" s="45" t="s">
        <v>22</v>
      </c>
      <c r="E31" s="45" t="s">
        <v>21</v>
      </c>
      <c r="F31" s="45" t="s">
        <v>22</v>
      </c>
      <c r="G31" s="45" t="s">
        <v>22</v>
      </c>
      <c r="H31" s="45" t="s">
        <v>21</v>
      </c>
      <c r="I31" s="45" t="s">
        <v>22</v>
      </c>
      <c r="J31" s="45" t="s">
        <v>21</v>
      </c>
      <c r="K31" s="45" t="s">
        <v>22</v>
      </c>
      <c r="L31" s="45" t="s">
        <v>22</v>
      </c>
      <c r="M31" s="45" t="s">
        <v>22</v>
      </c>
      <c r="N31" s="45" t="s">
        <v>22</v>
      </c>
      <c r="O31" s="45" t="s">
        <v>22</v>
      </c>
      <c r="P31" s="45" t="s">
        <v>22</v>
      </c>
      <c r="Q31" s="9" t="s">
        <v>22</v>
      </c>
      <c r="R31" s="45" t="s">
        <v>22</v>
      </c>
      <c r="S31" s="45" t="s">
        <v>21</v>
      </c>
      <c r="T31" s="45" t="s">
        <v>22</v>
      </c>
      <c r="U31" s="45" t="s">
        <v>21</v>
      </c>
      <c r="V31" s="45" t="s">
        <v>22</v>
      </c>
      <c r="W31" s="45" t="s">
        <v>22</v>
      </c>
      <c r="X31" s="45" t="s">
        <v>21</v>
      </c>
      <c r="Y31" s="45" t="s">
        <v>22</v>
      </c>
      <c r="Z31" s="45" t="s">
        <v>22</v>
      </c>
      <c r="AA31" s="45" t="s">
        <v>22</v>
      </c>
      <c r="AB31" s="45" t="s">
        <v>22</v>
      </c>
      <c r="AC31" s="45" t="s">
        <v>22</v>
      </c>
      <c r="AD31" s="45" t="s">
        <v>22</v>
      </c>
      <c r="AE31" s="45" t="s">
        <v>22</v>
      </c>
      <c r="AF31" s="45" t="s">
        <v>22</v>
      </c>
      <c r="AG31" s="51" t="s">
        <v>21</v>
      </c>
    </row>
    <row r="32" spans="1:33" x14ac:dyDescent="0.2">
      <c r="A32" s="58">
        <v>29</v>
      </c>
      <c r="B32" s="45" t="s">
        <v>23</v>
      </c>
      <c r="C32" s="45" t="s">
        <v>23</v>
      </c>
      <c r="D32" s="45" t="s">
        <v>21</v>
      </c>
      <c r="E32" s="45" t="s">
        <v>22</v>
      </c>
      <c r="F32" s="45" t="s">
        <v>22</v>
      </c>
      <c r="G32" s="45" t="s">
        <v>22</v>
      </c>
      <c r="H32" s="45" t="s">
        <v>22</v>
      </c>
      <c r="I32" s="45" t="s">
        <v>22</v>
      </c>
      <c r="J32" s="45" t="s">
        <v>23</v>
      </c>
      <c r="K32" s="45" t="s">
        <v>22</v>
      </c>
      <c r="L32" s="45" t="s">
        <v>22</v>
      </c>
      <c r="M32" s="45" t="s">
        <v>22</v>
      </c>
      <c r="N32" s="45" t="s">
        <v>22</v>
      </c>
      <c r="O32" s="45" t="s">
        <v>22</v>
      </c>
      <c r="P32" s="45" t="s">
        <v>23</v>
      </c>
      <c r="Q32" s="9" t="s">
        <v>22</v>
      </c>
      <c r="R32" s="45" t="s">
        <v>22</v>
      </c>
      <c r="S32" s="45" t="s">
        <v>23</v>
      </c>
      <c r="T32" s="45" t="s">
        <v>22</v>
      </c>
      <c r="U32" s="45" t="s">
        <v>23</v>
      </c>
      <c r="V32" s="45" t="s">
        <v>23</v>
      </c>
      <c r="W32" s="45" t="s">
        <v>22</v>
      </c>
      <c r="X32" s="45" t="s">
        <v>22</v>
      </c>
      <c r="Y32" s="45" t="s">
        <v>22</v>
      </c>
      <c r="Z32" s="45" t="s">
        <v>23</v>
      </c>
      <c r="AA32" s="45" t="s">
        <v>22</v>
      </c>
      <c r="AB32" s="45" t="s">
        <v>21</v>
      </c>
      <c r="AC32" s="45" t="s">
        <v>22</v>
      </c>
      <c r="AD32" s="45" t="s">
        <v>21</v>
      </c>
      <c r="AE32" s="45" t="s">
        <v>22</v>
      </c>
      <c r="AF32" s="45" t="s">
        <v>22</v>
      </c>
      <c r="AG32" s="51" t="s">
        <v>22</v>
      </c>
    </row>
    <row r="33" spans="1:33" x14ac:dyDescent="0.2">
      <c r="A33" s="58">
        <v>30</v>
      </c>
      <c r="B33" s="45" t="s">
        <v>22</v>
      </c>
      <c r="C33" s="45" t="s">
        <v>21</v>
      </c>
      <c r="D33" s="45" t="s">
        <v>22</v>
      </c>
      <c r="E33" s="45" t="s">
        <v>22</v>
      </c>
      <c r="F33" s="45" t="s">
        <v>22</v>
      </c>
      <c r="G33" s="45" t="s">
        <v>22</v>
      </c>
      <c r="H33" s="45" t="s">
        <v>22</v>
      </c>
      <c r="I33" s="45" t="s">
        <v>22</v>
      </c>
      <c r="J33" s="45" t="s">
        <v>22</v>
      </c>
      <c r="K33" s="45" t="s">
        <v>22</v>
      </c>
      <c r="L33" s="45" t="s">
        <v>22</v>
      </c>
      <c r="M33" s="45" t="s">
        <v>22</v>
      </c>
      <c r="N33" s="45" t="s">
        <v>22</v>
      </c>
      <c r="O33" s="45" t="s">
        <v>22</v>
      </c>
      <c r="P33" s="45" t="s">
        <v>22</v>
      </c>
      <c r="Q33" s="9" t="s">
        <v>22</v>
      </c>
      <c r="R33" s="45" t="s">
        <v>21</v>
      </c>
      <c r="S33" s="46" t="s">
        <v>27</v>
      </c>
      <c r="T33" s="45" t="s">
        <v>21</v>
      </c>
      <c r="U33" s="45" t="s">
        <v>21</v>
      </c>
      <c r="V33" s="45" t="s">
        <v>21</v>
      </c>
      <c r="W33" s="46" t="s">
        <v>22</v>
      </c>
      <c r="X33" s="46" t="s">
        <v>22</v>
      </c>
      <c r="Y33" s="45" t="s">
        <v>22</v>
      </c>
      <c r="Z33" s="45" t="s">
        <v>21</v>
      </c>
      <c r="AA33" s="45" t="s">
        <v>21</v>
      </c>
      <c r="AB33" s="45" t="s">
        <v>22</v>
      </c>
      <c r="AC33" s="45" t="s">
        <v>22</v>
      </c>
      <c r="AD33" s="45" t="s">
        <v>22</v>
      </c>
      <c r="AE33" s="45" t="s">
        <v>22</v>
      </c>
      <c r="AF33" s="45" t="s">
        <v>22</v>
      </c>
      <c r="AG33" s="51" t="s">
        <v>22</v>
      </c>
    </row>
    <row r="34" spans="1:33" x14ac:dyDescent="0.2">
      <c r="A34" s="58">
        <v>31</v>
      </c>
      <c r="B34" s="45" t="s">
        <v>22</v>
      </c>
      <c r="C34" s="45" t="s">
        <v>22</v>
      </c>
      <c r="D34" s="45" t="s">
        <v>22</v>
      </c>
      <c r="E34" s="45" t="s">
        <v>22</v>
      </c>
      <c r="F34" s="45" t="s">
        <v>22</v>
      </c>
      <c r="G34" s="45" t="s">
        <v>22</v>
      </c>
      <c r="H34" s="45" t="s">
        <v>22</v>
      </c>
      <c r="I34" s="45" t="s">
        <v>22</v>
      </c>
      <c r="J34" s="45" t="s">
        <v>22</v>
      </c>
      <c r="K34" s="45" t="s">
        <v>22</v>
      </c>
      <c r="L34" s="45" t="s">
        <v>22</v>
      </c>
      <c r="M34" s="45" t="s">
        <v>22</v>
      </c>
      <c r="N34" s="45" t="s">
        <v>22</v>
      </c>
      <c r="O34" s="45" t="s">
        <v>22</v>
      </c>
      <c r="P34" s="45" t="s">
        <v>22</v>
      </c>
      <c r="Q34" s="9" t="s">
        <v>22</v>
      </c>
      <c r="R34" s="45" t="s">
        <v>23</v>
      </c>
      <c r="S34" s="45" t="s">
        <v>23</v>
      </c>
      <c r="T34" s="45" t="s">
        <v>22</v>
      </c>
      <c r="U34" s="45" t="s">
        <v>27</v>
      </c>
      <c r="V34" s="45" t="s">
        <v>21</v>
      </c>
      <c r="W34" s="45" t="s">
        <v>22</v>
      </c>
      <c r="X34" s="45" t="s">
        <v>23</v>
      </c>
      <c r="Y34" s="45" t="s">
        <v>22</v>
      </c>
      <c r="Z34" s="45" t="s">
        <v>22</v>
      </c>
      <c r="AA34" s="45" t="s">
        <v>22</v>
      </c>
      <c r="AB34" s="45" t="s">
        <v>21</v>
      </c>
      <c r="AC34" s="45" t="s">
        <v>22</v>
      </c>
      <c r="AD34" s="45" t="s">
        <v>22</v>
      </c>
      <c r="AE34" s="45" t="s">
        <v>22</v>
      </c>
      <c r="AF34" s="45" t="s">
        <v>22</v>
      </c>
      <c r="AG34" s="51" t="s">
        <v>22</v>
      </c>
    </row>
    <row r="35" spans="1:33" x14ac:dyDescent="0.2">
      <c r="A35" s="58">
        <v>32</v>
      </c>
      <c r="B35" s="45" t="s">
        <v>22</v>
      </c>
      <c r="C35" s="45" t="s">
        <v>21</v>
      </c>
      <c r="D35" s="45" t="s">
        <v>22</v>
      </c>
      <c r="E35" s="45" t="s">
        <v>22</v>
      </c>
      <c r="F35" s="45" t="s">
        <v>22</v>
      </c>
      <c r="G35" s="45" t="s">
        <v>22</v>
      </c>
      <c r="H35" s="45" t="s">
        <v>22</v>
      </c>
      <c r="I35" s="45" t="s">
        <v>22</v>
      </c>
      <c r="J35" s="45" t="s">
        <v>21</v>
      </c>
      <c r="K35" s="45" t="s">
        <v>22</v>
      </c>
      <c r="L35" s="45" t="s">
        <v>22</v>
      </c>
      <c r="M35" s="45" t="s">
        <v>22</v>
      </c>
      <c r="N35" s="45" t="s">
        <v>22</v>
      </c>
      <c r="O35" s="45" t="s">
        <v>22</v>
      </c>
      <c r="P35" s="45" t="s">
        <v>22</v>
      </c>
      <c r="Q35" s="9" t="s">
        <v>22</v>
      </c>
      <c r="R35" s="45" t="s">
        <v>21</v>
      </c>
      <c r="S35" s="45" t="s">
        <v>21</v>
      </c>
      <c r="T35" s="45" t="s">
        <v>22</v>
      </c>
      <c r="U35" s="45" t="s">
        <v>23</v>
      </c>
      <c r="V35" s="45" t="s">
        <v>22</v>
      </c>
      <c r="W35" s="45" t="s">
        <v>22</v>
      </c>
      <c r="X35" s="45" t="s">
        <v>22</v>
      </c>
      <c r="Y35" s="45" t="s">
        <v>22</v>
      </c>
      <c r="Z35" s="45" t="s">
        <v>23</v>
      </c>
      <c r="AA35" s="45" t="s">
        <v>21</v>
      </c>
      <c r="AB35" s="45" t="s">
        <v>22</v>
      </c>
      <c r="AC35" s="45" t="s">
        <v>22</v>
      </c>
      <c r="AD35" s="45" t="s">
        <v>22</v>
      </c>
      <c r="AE35" s="45" t="s">
        <v>22</v>
      </c>
      <c r="AF35" s="45" t="s">
        <v>22</v>
      </c>
      <c r="AG35" s="51" t="s">
        <v>22</v>
      </c>
    </row>
    <row r="36" spans="1:33" x14ac:dyDescent="0.2">
      <c r="A36" s="58">
        <v>33</v>
      </c>
      <c r="B36" s="45" t="s">
        <v>22</v>
      </c>
      <c r="C36" s="45" t="s">
        <v>21</v>
      </c>
      <c r="D36" s="45" t="s">
        <v>21</v>
      </c>
      <c r="E36" s="45" t="s">
        <v>22</v>
      </c>
      <c r="F36" s="45" t="s">
        <v>22</v>
      </c>
      <c r="G36" s="45" t="s">
        <v>22</v>
      </c>
      <c r="H36" s="45" t="s">
        <v>22</v>
      </c>
      <c r="I36" s="45" t="s">
        <v>22</v>
      </c>
      <c r="J36" s="45" t="s">
        <v>21</v>
      </c>
      <c r="K36" s="45" t="s">
        <v>22</v>
      </c>
      <c r="L36" s="45" t="s">
        <v>22</v>
      </c>
      <c r="M36" s="45" t="s">
        <v>22</v>
      </c>
      <c r="N36" s="45" t="s">
        <v>22</v>
      </c>
      <c r="O36" s="45" t="s">
        <v>22</v>
      </c>
      <c r="P36" s="45" t="s">
        <v>22</v>
      </c>
      <c r="Q36" s="9" t="s">
        <v>22</v>
      </c>
      <c r="R36" s="45" t="s">
        <v>22</v>
      </c>
      <c r="S36" s="45" t="s">
        <v>21</v>
      </c>
      <c r="T36" s="45" t="s">
        <v>22</v>
      </c>
      <c r="U36" s="45" t="s">
        <v>23</v>
      </c>
      <c r="V36" s="45" t="s">
        <v>22</v>
      </c>
      <c r="W36" s="45" t="s">
        <v>22</v>
      </c>
      <c r="X36" s="45" t="s">
        <v>22</v>
      </c>
      <c r="Y36" s="45" t="s">
        <v>22</v>
      </c>
      <c r="Z36" s="45" t="s">
        <v>22</v>
      </c>
      <c r="AA36" s="45" t="s">
        <v>21</v>
      </c>
      <c r="AB36" s="45" t="s">
        <v>22</v>
      </c>
      <c r="AC36" s="45" t="s">
        <v>21</v>
      </c>
      <c r="AD36" s="45" t="s">
        <v>22</v>
      </c>
      <c r="AE36" s="45" t="s">
        <v>22</v>
      </c>
      <c r="AF36" s="45" t="s">
        <v>22</v>
      </c>
      <c r="AG36" s="51" t="s">
        <v>22</v>
      </c>
    </row>
    <row r="37" spans="1:33" x14ac:dyDescent="0.2">
      <c r="A37" s="58">
        <v>34</v>
      </c>
      <c r="B37" s="45" t="s">
        <v>22</v>
      </c>
      <c r="C37" s="45" t="s">
        <v>21</v>
      </c>
      <c r="D37" s="45" t="s">
        <v>22</v>
      </c>
      <c r="E37" s="45" t="s">
        <v>22</v>
      </c>
      <c r="F37" s="45" t="s">
        <v>21</v>
      </c>
      <c r="G37" s="45" t="s">
        <v>21</v>
      </c>
      <c r="H37" s="45" t="s">
        <v>23</v>
      </c>
      <c r="I37" s="45" t="s">
        <v>22</v>
      </c>
      <c r="J37" s="45" t="s">
        <v>21</v>
      </c>
      <c r="K37" s="45" t="s">
        <v>22</v>
      </c>
      <c r="L37" s="45" t="s">
        <v>22</v>
      </c>
      <c r="M37" s="45" t="s">
        <v>22</v>
      </c>
      <c r="N37" s="45" t="s">
        <v>22</v>
      </c>
      <c r="O37" s="45" t="s">
        <v>22</v>
      </c>
      <c r="P37" s="45" t="s">
        <v>22</v>
      </c>
      <c r="Q37" s="9" t="s">
        <v>22</v>
      </c>
      <c r="R37" s="45" t="s">
        <v>22</v>
      </c>
      <c r="S37" s="45" t="s">
        <v>22</v>
      </c>
      <c r="T37" s="45" t="s">
        <v>22</v>
      </c>
      <c r="U37" s="45" t="s">
        <v>21</v>
      </c>
      <c r="V37" s="45" t="s">
        <v>22</v>
      </c>
      <c r="W37" s="45" t="s">
        <v>22</v>
      </c>
      <c r="X37" s="45" t="s">
        <v>21</v>
      </c>
      <c r="Y37" s="45" t="s">
        <v>22</v>
      </c>
      <c r="Z37" s="45" t="s">
        <v>22</v>
      </c>
      <c r="AA37" s="45" t="s">
        <v>22</v>
      </c>
      <c r="AB37" s="45" t="s">
        <v>22</v>
      </c>
      <c r="AC37" s="45" t="s">
        <v>22</v>
      </c>
      <c r="AD37" s="45" t="s">
        <v>22</v>
      </c>
      <c r="AE37" s="45" t="s">
        <v>22</v>
      </c>
      <c r="AF37" s="45" t="s">
        <v>22</v>
      </c>
      <c r="AG37" s="51" t="s">
        <v>21</v>
      </c>
    </row>
    <row r="38" spans="1:33" x14ac:dyDescent="0.2">
      <c r="A38" s="58">
        <v>35</v>
      </c>
      <c r="B38" s="45" t="s">
        <v>22</v>
      </c>
      <c r="C38" s="46" t="s">
        <v>21</v>
      </c>
      <c r="D38" s="45" t="s">
        <v>22</v>
      </c>
      <c r="E38" s="45" t="s">
        <v>21</v>
      </c>
      <c r="F38" s="45" t="s">
        <v>22</v>
      </c>
      <c r="G38" s="46" t="s">
        <v>22</v>
      </c>
      <c r="H38" s="46" t="s">
        <v>22</v>
      </c>
      <c r="I38" s="45" t="s">
        <v>22</v>
      </c>
      <c r="J38" s="45" t="s">
        <v>22</v>
      </c>
      <c r="K38" s="45" t="s">
        <v>22</v>
      </c>
      <c r="L38" s="45" t="s">
        <v>21</v>
      </c>
      <c r="M38" s="45" t="s">
        <v>22</v>
      </c>
      <c r="N38" s="45" t="s">
        <v>22</v>
      </c>
      <c r="O38" s="45" t="s">
        <v>22</v>
      </c>
      <c r="P38" s="45" t="s">
        <v>22</v>
      </c>
      <c r="Q38" s="9" t="s">
        <v>22</v>
      </c>
      <c r="R38" s="45" t="s">
        <v>21</v>
      </c>
      <c r="S38" s="45" t="s">
        <v>23</v>
      </c>
      <c r="T38" s="45" t="s">
        <v>23</v>
      </c>
      <c r="U38" s="45" t="s">
        <v>23</v>
      </c>
      <c r="V38" s="45" t="s">
        <v>22</v>
      </c>
      <c r="W38" s="45" t="s">
        <v>22</v>
      </c>
      <c r="X38" s="45" t="s">
        <v>22</v>
      </c>
      <c r="Y38" s="45" t="s">
        <v>22</v>
      </c>
      <c r="Z38" s="45" t="s">
        <v>22</v>
      </c>
      <c r="AA38" s="45" t="s">
        <v>23</v>
      </c>
      <c r="AB38" s="45" t="s">
        <v>21</v>
      </c>
      <c r="AC38" s="45" t="s">
        <v>22</v>
      </c>
      <c r="AD38" s="45" t="s">
        <v>22</v>
      </c>
      <c r="AE38" s="45" t="s">
        <v>22</v>
      </c>
      <c r="AF38" s="45" t="s">
        <v>23</v>
      </c>
      <c r="AG38" s="51" t="s">
        <v>22</v>
      </c>
    </row>
    <row r="39" spans="1:33" x14ac:dyDescent="0.2">
      <c r="A39" s="58">
        <v>36</v>
      </c>
      <c r="B39" s="46" t="s">
        <v>22</v>
      </c>
      <c r="C39" s="45" t="s">
        <v>21</v>
      </c>
      <c r="D39" s="45" t="s">
        <v>22</v>
      </c>
      <c r="E39" s="45" t="s">
        <v>22</v>
      </c>
      <c r="F39" s="46" t="s">
        <v>21</v>
      </c>
      <c r="G39" s="46" t="s">
        <v>22</v>
      </c>
      <c r="H39" s="45" t="s">
        <v>21</v>
      </c>
      <c r="I39" s="45" t="s">
        <v>22</v>
      </c>
      <c r="J39" s="45" t="s">
        <v>21</v>
      </c>
      <c r="K39" s="45" t="s">
        <v>21</v>
      </c>
      <c r="L39" s="45" t="s">
        <v>22</v>
      </c>
      <c r="M39" s="45" t="s">
        <v>22</v>
      </c>
      <c r="N39" s="45" t="s">
        <v>21</v>
      </c>
      <c r="O39" s="45" t="s">
        <v>22</v>
      </c>
      <c r="P39" s="45" t="s">
        <v>22</v>
      </c>
      <c r="Q39" s="9" t="s">
        <v>22</v>
      </c>
      <c r="R39" s="45" t="s">
        <v>22</v>
      </c>
      <c r="S39" s="45" t="s">
        <v>22</v>
      </c>
      <c r="T39" s="45" t="s">
        <v>22</v>
      </c>
      <c r="U39" s="45" t="s">
        <v>23</v>
      </c>
      <c r="V39" s="45" t="s">
        <v>21</v>
      </c>
      <c r="W39" s="45" t="s">
        <v>22</v>
      </c>
      <c r="X39" s="45" t="s">
        <v>22</v>
      </c>
      <c r="Y39" s="45" t="s">
        <v>22</v>
      </c>
      <c r="Z39" s="45" t="s">
        <v>21</v>
      </c>
      <c r="AA39" s="45" t="s">
        <v>22</v>
      </c>
      <c r="AB39" s="45" t="s">
        <v>22</v>
      </c>
      <c r="AC39" s="45" t="s">
        <v>22</v>
      </c>
      <c r="AD39" s="45" t="s">
        <v>22</v>
      </c>
      <c r="AE39" s="45" t="s">
        <v>22</v>
      </c>
      <c r="AF39" s="45" t="s">
        <v>22</v>
      </c>
      <c r="AG39" s="51" t="s">
        <v>22</v>
      </c>
    </row>
    <row r="40" spans="1:33" x14ac:dyDescent="0.2">
      <c r="A40" s="58">
        <v>37</v>
      </c>
      <c r="B40" s="46" t="s">
        <v>22</v>
      </c>
      <c r="C40" s="45" t="s">
        <v>21</v>
      </c>
      <c r="D40" s="45" t="s">
        <v>22</v>
      </c>
      <c r="E40" s="45" t="s">
        <v>22</v>
      </c>
      <c r="F40" s="46" t="s">
        <v>22</v>
      </c>
      <c r="G40" s="46" t="s">
        <v>22</v>
      </c>
      <c r="H40" s="45" t="s">
        <v>22</v>
      </c>
      <c r="I40" s="45" t="s">
        <v>22</v>
      </c>
      <c r="J40" s="45" t="s">
        <v>22</v>
      </c>
      <c r="K40" s="45" t="s">
        <v>22</v>
      </c>
      <c r="L40" s="45" t="s">
        <v>22</v>
      </c>
      <c r="M40" s="45" t="s">
        <v>22</v>
      </c>
      <c r="N40" s="45" t="s">
        <v>22</v>
      </c>
      <c r="O40" s="45" t="s">
        <v>22</v>
      </c>
      <c r="P40" s="45" t="s">
        <v>22</v>
      </c>
      <c r="Q40" s="9" t="s">
        <v>22</v>
      </c>
      <c r="R40" s="45" t="s">
        <v>23</v>
      </c>
      <c r="S40" s="45" t="s">
        <v>21</v>
      </c>
      <c r="T40" s="45" t="s">
        <v>22</v>
      </c>
      <c r="U40" s="45" t="s">
        <v>22</v>
      </c>
      <c r="V40" s="45" t="s">
        <v>22</v>
      </c>
      <c r="W40" s="45" t="s">
        <v>22</v>
      </c>
      <c r="X40" s="45" t="s">
        <v>21</v>
      </c>
      <c r="Y40" s="45" t="s">
        <v>21</v>
      </c>
      <c r="Z40" s="45" t="s">
        <v>22</v>
      </c>
      <c r="AA40" s="45" t="s">
        <v>22</v>
      </c>
      <c r="AB40" s="45" t="s">
        <v>22</v>
      </c>
      <c r="AC40" s="45" t="s">
        <v>22</v>
      </c>
      <c r="AD40" s="45" t="s">
        <v>21</v>
      </c>
      <c r="AE40" s="45" t="s">
        <v>22</v>
      </c>
      <c r="AF40" s="45" t="s">
        <v>23</v>
      </c>
      <c r="AG40" s="51" t="s">
        <v>22</v>
      </c>
    </row>
    <row r="41" spans="1:33" x14ac:dyDescent="0.2">
      <c r="A41" s="58">
        <v>38</v>
      </c>
      <c r="B41" s="45" t="s">
        <v>22</v>
      </c>
      <c r="C41" s="45" t="s">
        <v>21</v>
      </c>
      <c r="D41" s="45" t="s">
        <v>22</v>
      </c>
      <c r="E41" s="45" t="s">
        <v>22</v>
      </c>
      <c r="F41" s="45" t="s">
        <v>22</v>
      </c>
      <c r="G41" s="45" t="s">
        <v>22</v>
      </c>
      <c r="H41" s="45" t="s">
        <v>22</v>
      </c>
      <c r="I41" s="45" t="s">
        <v>22</v>
      </c>
      <c r="J41" s="45" t="s">
        <v>22</v>
      </c>
      <c r="K41" s="45" t="s">
        <v>22</v>
      </c>
      <c r="L41" s="45" t="s">
        <v>22</v>
      </c>
      <c r="M41" s="45" t="s">
        <v>22</v>
      </c>
      <c r="N41" s="45" t="s">
        <v>22</v>
      </c>
      <c r="O41" s="45" t="s">
        <v>22</v>
      </c>
      <c r="P41" s="45" t="s">
        <v>22</v>
      </c>
      <c r="Q41" s="9" t="s">
        <v>22</v>
      </c>
      <c r="R41" s="45" t="s">
        <v>22</v>
      </c>
      <c r="S41" s="45" t="s">
        <v>21</v>
      </c>
      <c r="T41" s="45" t="s">
        <v>22</v>
      </c>
      <c r="U41" s="45" t="s">
        <v>21</v>
      </c>
      <c r="V41" s="45" t="s">
        <v>22</v>
      </c>
      <c r="W41" s="45" t="s">
        <v>22</v>
      </c>
      <c r="X41" s="45" t="s">
        <v>22</v>
      </c>
      <c r="Y41" s="45" t="s">
        <v>22</v>
      </c>
      <c r="Z41" s="45" t="s">
        <v>22</v>
      </c>
      <c r="AA41" s="45" t="s">
        <v>22</v>
      </c>
      <c r="AB41" s="45" t="s">
        <v>22</v>
      </c>
      <c r="AC41" s="45" t="s">
        <v>22</v>
      </c>
      <c r="AD41" s="45" t="s">
        <v>22</v>
      </c>
      <c r="AE41" s="45" t="s">
        <v>22</v>
      </c>
      <c r="AF41" s="45" t="s">
        <v>22</v>
      </c>
      <c r="AG41" s="51" t="s">
        <v>22</v>
      </c>
    </row>
    <row r="42" spans="1:33" x14ac:dyDescent="0.2">
      <c r="A42" s="58">
        <v>39</v>
      </c>
      <c r="B42" s="45" t="s">
        <v>22</v>
      </c>
      <c r="C42" s="45" t="s">
        <v>22</v>
      </c>
      <c r="D42" s="45" t="s">
        <v>22</v>
      </c>
      <c r="E42" s="45" t="s">
        <v>22</v>
      </c>
      <c r="F42" s="45" t="s">
        <v>22</v>
      </c>
      <c r="G42" s="45" t="s">
        <v>22</v>
      </c>
      <c r="H42" s="45" t="s">
        <v>22</v>
      </c>
      <c r="I42" s="45" t="s">
        <v>22</v>
      </c>
      <c r="J42" s="45" t="s">
        <v>22</v>
      </c>
      <c r="K42" s="45" t="s">
        <v>22</v>
      </c>
      <c r="L42" s="45" t="s">
        <v>22</v>
      </c>
      <c r="M42" s="45" t="s">
        <v>22</v>
      </c>
      <c r="N42" s="45" t="s">
        <v>22</v>
      </c>
      <c r="O42" s="45" t="s">
        <v>22</v>
      </c>
      <c r="P42" s="45" t="s">
        <v>22</v>
      </c>
      <c r="Q42" s="9" t="s">
        <v>22</v>
      </c>
      <c r="R42" s="45" t="s">
        <v>23</v>
      </c>
      <c r="S42" s="45" t="s">
        <v>21</v>
      </c>
      <c r="T42" s="45" t="s">
        <v>22</v>
      </c>
      <c r="U42" s="45" t="s">
        <v>22</v>
      </c>
      <c r="V42" s="45" t="s">
        <v>21</v>
      </c>
      <c r="W42" s="45" t="s">
        <v>22</v>
      </c>
      <c r="X42" s="45" t="s">
        <v>22</v>
      </c>
      <c r="Y42" s="45" t="s">
        <v>23</v>
      </c>
      <c r="Z42" s="45" t="s">
        <v>21</v>
      </c>
      <c r="AA42" s="45" t="s">
        <v>22</v>
      </c>
      <c r="AB42" s="45" t="s">
        <v>22</v>
      </c>
      <c r="AC42" s="45" t="s">
        <v>23</v>
      </c>
      <c r="AD42" s="45" t="s">
        <v>23</v>
      </c>
      <c r="AE42" s="45" t="s">
        <v>22</v>
      </c>
      <c r="AF42" s="45" t="s">
        <v>23</v>
      </c>
      <c r="AG42" s="51" t="s">
        <v>22</v>
      </c>
    </row>
    <row r="43" spans="1:33" x14ac:dyDescent="0.2">
      <c r="A43" s="58">
        <v>40</v>
      </c>
      <c r="B43" s="45" t="s">
        <v>22</v>
      </c>
      <c r="C43" s="45" t="s">
        <v>22</v>
      </c>
      <c r="D43" s="45" t="s">
        <v>22</v>
      </c>
      <c r="E43" s="45" t="s">
        <v>21</v>
      </c>
      <c r="F43" s="45" t="s">
        <v>22</v>
      </c>
      <c r="G43" s="45" t="s">
        <v>22</v>
      </c>
      <c r="H43" s="45" t="s">
        <v>21</v>
      </c>
      <c r="I43" s="45" t="s">
        <v>22</v>
      </c>
      <c r="J43" s="45" t="s">
        <v>22</v>
      </c>
      <c r="K43" s="45" t="s">
        <v>22</v>
      </c>
      <c r="L43" s="45" t="s">
        <v>22</v>
      </c>
      <c r="M43" s="45" t="s">
        <v>22</v>
      </c>
      <c r="N43" s="45" t="s">
        <v>22</v>
      </c>
      <c r="O43" s="45" t="s">
        <v>22</v>
      </c>
      <c r="P43" s="45" t="s">
        <v>22</v>
      </c>
      <c r="Q43" s="9" t="s">
        <v>22</v>
      </c>
      <c r="R43" s="45" t="s">
        <v>23</v>
      </c>
      <c r="S43" s="45" t="s">
        <v>22</v>
      </c>
      <c r="T43" s="45" t="s">
        <v>22</v>
      </c>
      <c r="U43" s="45" t="s">
        <v>21</v>
      </c>
      <c r="V43" s="45" t="s">
        <v>22</v>
      </c>
      <c r="W43" s="45" t="s">
        <v>22</v>
      </c>
      <c r="X43" s="45" t="s">
        <v>23</v>
      </c>
      <c r="Y43" s="45" t="s">
        <v>23</v>
      </c>
      <c r="Z43" s="45" t="s">
        <v>22</v>
      </c>
      <c r="AA43" s="45" t="s">
        <v>22</v>
      </c>
      <c r="AB43" s="45" t="s">
        <v>22</v>
      </c>
      <c r="AC43" s="45" t="s">
        <v>22</v>
      </c>
      <c r="AD43" s="45" t="s">
        <v>22</v>
      </c>
      <c r="AE43" s="45" t="s">
        <v>22</v>
      </c>
      <c r="AF43" s="45" t="s">
        <v>21</v>
      </c>
      <c r="AG43" s="51" t="s">
        <v>22</v>
      </c>
    </row>
    <row r="44" spans="1:33" x14ac:dyDescent="0.2">
      <c r="A44" s="58">
        <v>41</v>
      </c>
      <c r="B44" s="45" t="s">
        <v>21</v>
      </c>
      <c r="C44" s="45" t="s">
        <v>23</v>
      </c>
      <c r="D44" s="45" t="s">
        <v>22</v>
      </c>
      <c r="E44" s="45" t="s">
        <v>22</v>
      </c>
      <c r="F44" s="45" t="s">
        <v>22</v>
      </c>
      <c r="G44" s="45" t="s">
        <v>22</v>
      </c>
      <c r="H44" s="45" t="s">
        <v>22</v>
      </c>
      <c r="I44" s="45" t="s">
        <v>22</v>
      </c>
      <c r="J44" s="45" t="s">
        <v>21</v>
      </c>
      <c r="K44" s="45" t="s">
        <v>22</v>
      </c>
      <c r="L44" s="45" t="s">
        <v>22</v>
      </c>
      <c r="M44" s="45" t="s">
        <v>22</v>
      </c>
      <c r="N44" s="45" t="s">
        <v>22</v>
      </c>
      <c r="O44" s="45" t="s">
        <v>22</v>
      </c>
      <c r="P44" s="45" t="s">
        <v>22</v>
      </c>
      <c r="Q44" s="9" t="s">
        <v>22</v>
      </c>
      <c r="R44" s="45" t="s">
        <v>21</v>
      </c>
      <c r="S44" s="45" t="s">
        <v>23</v>
      </c>
      <c r="T44" s="45" t="s">
        <v>22</v>
      </c>
      <c r="U44" s="45" t="s">
        <v>23</v>
      </c>
      <c r="V44" s="45" t="s">
        <v>22</v>
      </c>
      <c r="W44" s="45" t="s">
        <v>22</v>
      </c>
      <c r="X44" s="45" t="s">
        <v>21</v>
      </c>
      <c r="Y44" s="45" t="s">
        <v>22</v>
      </c>
      <c r="Z44" s="45" t="s">
        <v>27</v>
      </c>
      <c r="AA44" s="45" t="s">
        <v>22</v>
      </c>
      <c r="AB44" s="45" t="s">
        <v>22</v>
      </c>
      <c r="AC44" s="45" t="s">
        <v>22</v>
      </c>
      <c r="AD44" s="45" t="s">
        <v>22</v>
      </c>
      <c r="AE44" s="45" t="s">
        <v>22</v>
      </c>
      <c r="AF44" s="45" t="s">
        <v>21</v>
      </c>
      <c r="AG44" s="51" t="s">
        <v>22</v>
      </c>
    </row>
    <row r="45" spans="1:33" x14ac:dyDescent="0.2">
      <c r="A45" s="58">
        <v>42</v>
      </c>
      <c r="B45" s="45" t="s">
        <v>21</v>
      </c>
      <c r="C45" s="45" t="s">
        <v>21</v>
      </c>
      <c r="D45" s="45" t="s">
        <v>22</v>
      </c>
      <c r="E45" s="45" t="s">
        <v>22</v>
      </c>
      <c r="F45" s="45" t="s">
        <v>22</v>
      </c>
      <c r="G45" s="45" t="s">
        <v>22</v>
      </c>
      <c r="H45" s="45" t="s">
        <v>21</v>
      </c>
      <c r="I45" s="45" t="s">
        <v>21</v>
      </c>
      <c r="J45" s="45" t="s">
        <v>22</v>
      </c>
      <c r="K45" s="45" t="s">
        <v>22</v>
      </c>
      <c r="L45" s="45" t="s">
        <v>22</v>
      </c>
      <c r="M45" s="45" t="s">
        <v>22</v>
      </c>
      <c r="N45" s="45" t="s">
        <v>22</v>
      </c>
      <c r="O45" s="45" t="s">
        <v>22</v>
      </c>
      <c r="P45" s="45" t="s">
        <v>22</v>
      </c>
      <c r="Q45" s="9" t="s">
        <v>22</v>
      </c>
      <c r="R45" s="45" t="s">
        <v>22</v>
      </c>
      <c r="S45" s="45" t="s">
        <v>21</v>
      </c>
      <c r="T45" s="45" t="s">
        <v>22</v>
      </c>
      <c r="U45" s="45" t="s">
        <v>22</v>
      </c>
      <c r="V45" s="45" t="s">
        <v>22</v>
      </c>
      <c r="W45" s="45" t="s">
        <v>22</v>
      </c>
      <c r="X45" s="45" t="s">
        <v>22</v>
      </c>
      <c r="Y45" s="45" t="s">
        <v>22</v>
      </c>
      <c r="Z45" s="45" t="s">
        <v>22</v>
      </c>
      <c r="AA45" s="45" t="s">
        <v>21</v>
      </c>
      <c r="AB45" s="45" t="s">
        <v>22</v>
      </c>
      <c r="AC45" s="45" t="s">
        <v>22</v>
      </c>
      <c r="AD45" s="45" t="s">
        <v>22</v>
      </c>
      <c r="AE45" s="45" t="s">
        <v>22</v>
      </c>
      <c r="AF45" s="45" t="s">
        <v>22</v>
      </c>
      <c r="AG45" s="51" t="s">
        <v>22</v>
      </c>
    </row>
    <row r="46" spans="1:33" x14ac:dyDescent="0.2">
      <c r="A46" s="58">
        <v>43</v>
      </c>
      <c r="B46" s="45" t="s">
        <v>22</v>
      </c>
      <c r="C46" s="45" t="s">
        <v>21</v>
      </c>
      <c r="D46" s="45" t="s">
        <v>21</v>
      </c>
      <c r="E46" s="45" t="s">
        <v>21</v>
      </c>
      <c r="F46" s="45" t="s">
        <v>22</v>
      </c>
      <c r="G46" s="45" t="s">
        <v>22</v>
      </c>
      <c r="H46" s="45" t="s">
        <v>22</v>
      </c>
      <c r="I46" s="45" t="s">
        <v>22</v>
      </c>
      <c r="J46" s="45" t="s">
        <v>21</v>
      </c>
      <c r="K46" s="45" t="s">
        <v>22</v>
      </c>
      <c r="L46" s="45" t="s">
        <v>22</v>
      </c>
      <c r="M46" s="45" t="s">
        <v>22</v>
      </c>
      <c r="N46" s="45" t="s">
        <v>22</v>
      </c>
      <c r="O46" s="45" t="s">
        <v>22</v>
      </c>
      <c r="P46" s="45" t="s">
        <v>22</v>
      </c>
      <c r="Q46" s="9" t="s">
        <v>22</v>
      </c>
      <c r="R46" s="45" t="s">
        <v>22</v>
      </c>
      <c r="S46" s="45" t="s">
        <v>21</v>
      </c>
      <c r="T46" s="45" t="s">
        <v>22</v>
      </c>
      <c r="U46" s="45" t="s">
        <v>23</v>
      </c>
      <c r="V46" s="45" t="s">
        <v>22</v>
      </c>
      <c r="W46" s="45" t="s">
        <v>22</v>
      </c>
      <c r="X46" s="45" t="s">
        <v>22</v>
      </c>
      <c r="Y46" s="45" t="s">
        <v>22</v>
      </c>
      <c r="Z46" s="45" t="s">
        <v>22</v>
      </c>
      <c r="AA46" s="45" t="s">
        <v>22</v>
      </c>
      <c r="AB46" s="45" t="s">
        <v>21</v>
      </c>
      <c r="AC46" s="45" t="s">
        <v>22</v>
      </c>
      <c r="AD46" s="45" t="s">
        <v>22</v>
      </c>
      <c r="AE46" s="45" t="s">
        <v>22</v>
      </c>
      <c r="AF46" s="45" t="s">
        <v>22</v>
      </c>
      <c r="AG46" s="51" t="s">
        <v>22</v>
      </c>
    </row>
    <row r="47" spans="1:33" x14ac:dyDescent="0.2">
      <c r="A47" s="58">
        <v>44</v>
      </c>
      <c r="B47" s="45" t="s">
        <v>21</v>
      </c>
      <c r="C47" s="45" t="s">
        <v>23</v>
      </c>
      <c r="D47" s="45" t="s">
        <v>21</v>
      </c>
      <c r="E47" s="45" t="s">
        <v>21</v>
      </c>
      <c r="F47" s="45" t="s">
        <v>21</v>
      </c>
      <c r="G47" s="45" t="s">
        <v>22</v>
      </c>
      <c r="H47" s="45" t="s">
        <v>22</v>
      </c>
      <c r="I47" s="45" t="s">
        <v>22</v>
      </c>
      <c r="J47" s="45" t="s">
        <v>21</v>
      </c>
      <c r="K47" s="45" t="s">
        <v>21</v>
      </c>
      <c r="L47" s="45" t="s">
        <v>22</v>
      </c>
      <c r="M47" s="45" t="s">
        <v>22</v>
      </c>
      <c r="N47" s="45" t="s">
        <v>22</v>
      </c>
      <c r="O47" s="45" t="s">
        <v>22</v>
      </c>
      <c r="P47" s="45" t="s">
        <v>22</v>
      </c>
      <c r="Q47" s="9" t="s">
        <v>22</v>
      </c>
      <c r="R47" s="45" t="s">
        <v>27</v>
      </c>
      <c r="S47" s="45" t="s">
        <v>21</v>
      </c>
      <c r="T47" s="45" t="s">
        <v>21</v>
      </c>
      <c r="U47" s="45" t="s">
        <v>27</v>
      </c>
      <c r="V47" s="45" t="s">
        <v>21</v>
      </c>
      <c r="W47" s="45" t="s">
        <v>22</v>
      </c>
      <c r="X47" s="45" t="s">
        <v>22</v>
      </c>
      <c r="Y47" s="45" t="s">
        <v>27</v>
      </c>
      <c r="Z47" s="45" t="s">
        <v>23</v>
      </c>
      <c r="AA47" s="45" t="s">
        <v>21</v>
      </c>
      <c r="AB47" s="45" t="s">
        <v>21</v>
      </c>
      <c r="AC47" s="45" t="s">
        <v>23</v>
      </c>
      <c r="AD47" s="45" t="s">
        <v>27</v>
      </c>
      <c r="AE47" s="45" t="s">
        <v>22</v>
      </c>
      <c r="AF47" s="45" t="s">
        <v>27</v>
      </c>
      <c r="AG47" s="51" t="s">
        <v>22</v>
      </c>
    </row>
    <row r="48" spans="1:33" x14ac:dyDescent="0.2">
      <c r="A48" s="58">
        <v>45</v>
      </c>
      <c r="B48" s="45"/>
      <c r="C48" s="45"/>
      <c r="D48" s="45"/>
      <c r="E48" s="45"/>
      <c r="F48" s="45"/>
      <c r="G48" s="45"/>
      <c r="H48" s="45"/>
      <c r="I48" s="45"/>
      <c r="J48" s="45"/>
      <c r="K48" s="45"/>
      <c r="L48" s="45"/>
      <c r="M48" s="45"/>
      <c r="N48" s="45"/>
      <c r="O48" s="45"/>
      <c r="P48" s="45"/>
      <c r="Q48" s="9"/>
      <c r="R48" s="45"/>
      <c r="S48" s="45"/>
      <c r="T48" s="45"/>
      <c r="U48" s="45"/>
      <c r="V48" s="45"/>
      <c r="W48" s="45"/>
      <c r="X48" s="45"/>
      <c r="Y48" s="45"/>
      <c r="Z48" s="45"/>
      <c r="AA48" s="45"/>
      <c r="AB48" s="45"/>
      <c r="AC48" s="45"/>
      <c r="AD48" s="45"/>
      <c r="AE48" s="45"/>
      <c r="AF48" s="45"/>
      <c r="AG48" s="51"/>
    </row>
    <row r="49" spans="1:33" x14ac:dyDescent="0.2">
      <c r="A49" s="58">
        <v>46</v>
      </c>
      <c r="B49" s="45"/>
      <c r="C49" s="45"/>
      <c r="D49" s="45"/>
      <c r="E49" s="45"/>
      <c r="F49" s="45"/>
      <c r="G49" s="45"/>
      <c r="H49" s="45"/>
      <c r="I49" s="45"/>
      <c r="J49" s="45"/>
      <c r="K49" s="45"/>
      <c r="L49" s="45"/>
      <c r="M49" s="45"/>
      <c r="N49" s="45"/>
      <c r="O49" s="45"/>
      <c r="P49" s="45"/>
      <c r="Q49" s="9"/>
      <c r="R49" s="45"/>
      <c r="S49" s="45"/>
      <c r="T49" s="45"/>
      <c r="U49" s="45"/>
      <c r="V49" s="45"/>
      <c r="W49" s="45"/>
      <c r="X49" s="45"/>
      <c r="Y49" s="45"/>
      <c r="Z49" s="45"/>
      <c r="AA49" s="45"/>
      <c r="AB49" s="45"/>
      <c r="AC49" s="45"/>
      <c r="AD49" s="45"/>
      <c r="AE49" s="45"/>
      <c r="AF49" s="45"/>
      <c r="AG49" s="51"/>
    </row>
    <row r="50" spans="1:33" x14ac:dyDescent="0.2">
      <c r="A50" s="58">
        <v>47</v>
      </c>
      <c r="B50" s="45"/>
      <c r="C50" s="45"/>
      <c r="D50" s="45"/>
      <c r="E50" s="45"/>
      <c r="F50" s="45"/>
      <c r="G50" s="45"/>
      <c r="H50" s="45"/>
      <c r="I50" s="45"/>
      <c r="J50" s="45"/>
      <c r="K50" s="45"/>
      <c r="L50" s="45"/>
      <c r="M50" s="45"/>
      <c r="N50" s="45"/>
      <c r="O50" s="45"/>
      <c r="P50" s="45"/>
      <c r="Q50" s="9"/>
      <c r="R50" s="45"/>
      <c r="S50" s="45"/>
      <c r="T50" s="45"/>
      <c r="U50" s="45"/>
      <c r="V50" s="45"/>
      <c r="W50" s="45"/>
      <c r="X50" s="45"/>
      <c r="Y50" s="45"/>
      <c r="Z50" s="45"/>
      <c r="AA50" s="45"/>
      <c r="AB50" s="45"/>
      <c r="AC50" s="45"/>
      <c r="AD50" s="45"/>
      <c r="AE50" s="45"/>
      <c r="AF50" s="45"/>
      <c r="AG50" s="51"/>
    </row>
    <row r="51" spans="1:33" x14ac:dyDescent="0.2">
      <c r="A51" s="58">
        <v>48</v>
      </c>
      <c r="B51" s="45"/>
      <c r="C51" s="45"/>
      <c r="D51" s="45"/>
      <c r="E51" s="45"/>
      <c r="F51" s="45"/>
      <c r="G51" s="45"/>
      <c r="H51" s="45"/>
      <c r="I51" s="45"/>
      <c r="J51" s="45"/>
      <c r="K51" s="45"/>
      <c r="L51" s="45"/>
      <c r="M51" s="45"/>
      <c r="N51" s="45"/>
      <c r="O51" s="45"/>
      <c r="P51" s="45"/>
      <c r="Q51" s="9"/>
      <c r="R51" s="45"/>
      <c r="S51" s="45"/>
      <c r="T51" s="45"/>
      <c r="U51" s="45"/>
      <c r="V51" s="45"/>
      <c r="W51" s="45"/>
      <c r="X51" s="45"/>
      <c r="Y51" s="45"/>
      <c r="Z51" s="45"/>
      <c r="AA51" s="45"/>
      <c r="AB51" s="45"/>
      <c r="AC51" s="45"/>
      <c r="AD51" s="45"/>
      <c r="AE51" s="45"/>
      <c r="AF51" s="45"/>
      <c r="AG51" s="51"/>
    </row>
    <row r="52" spans="1:33" x14ac:dyDescent="0.2">
      <c r="A52" s="58">
        <v>49</v>
      </c>
      <c r="B52" s="45"/>
      <c r="C52" s="45"/>
      <c r="D52" s="45"/>
      <c r="E52" s="45"/>
      <c r="F52" s="45"/>
      <c r="G52" s="45"/>
      <c r="H52" s="45"/>
      <c r="I52" s="45"/>
      <c r="J52" s="45"/>
      <c r="K52" s="45"/>
      <c r="L52" s="45"/>
      <c r="M52" s="45"/>
      <c r="N52" s="45"/>
      <c r="O52" s="45"/>
      <c r="P52" s="45"/>
      <c r="Q52" s="9"/>
      <c r="R52" s="45"/>
      <c r="S52" s="45"/>
      <c r="T52" s="45"/>
      <c r="U52" s="45"/>
      <c r="V52" s="45"/>
      <c r="W52" s="45"/>
      <c r="X52" s="45"/>
      <c r="Y52" s="45"/>
      <c r="Z52" s="45"/>
      <c r="AA52" s="45"/>
      <c r="AB52" s="45"/>
      <c r="AC52" s="45"/>
      <c r="AD52" s="45"/>
      <c r="AE52" s="45"/>
      <c r="AF52" s="45"/>
      <c r="AG52" s="51"/>
    </row>
    <row r="53" spans="1:33" x14ac:dyDescent="0.2">
      <c r="A53" s="58">
        <v>50</v>
      </c>
      <c r="B53" s="45"/>
      <c r="C53" s="45"/>
      <c r="D53" s="45"/>
      <c r="E53" s="45"/>
      <c r="F53" s="45"/>
      <c r="G53" s="45"/>
      <c r="H53" s="45"/>
      <c r="I53" s="45"/>
      <c r="J53" s="45"/>
      <c r="K53" s="45"/>
      <c r="L53" s="45"/>
      <c r="M53" s="45"/>
      <c r="N53" s="45"/>
      <c r="O53" s="45"/>
      <c r="P53" s="45"/>
      <c r="Q53" s="9"/>
      <c r="R53" s="45"/>
      <c r="S53" s="45"/>
      <c r="T53" s="45"/>
      <c r="U53" s="45"/>
      <c r="V53" s="45"/>
      <c r="W53" s="45"/>
      <c r="X53" s="45"/>
      <c r="Y53" s="45"/>
      <c r="Z53" s="45"/>
      <c r="AA53" s="45"/>
      <c r="AB53" s="45"/>
      <c r="AC53" s="45"/>
      <c r="AD53" s="45"/>
      <c r="AE53" s="45"/>
      <c r="AF53" s="45"/>
      <c r="AG53" s="51"/>
    </row>
    <row r="54" spans="1:33" x14ac:dyDescent="0.2">
      <c r="A54" s="58">
        <v>51</v>
      </c>
      <c r="B54" s="45"/>
      <c r="C54" s="45"/>
      <c r="D54" s="45"/>
      <c r="E54" s="45"/>
      <c r="F54" s="45"/>
      <c r="G54" s="45"/>
      <c r="H54" s="45"/>
      <c r="I54" s="45"/>
      <c r="J54" s="45"/>
      <c r="K54" s="45"/>
      <c r="L54" s="45"/>
      <c r="M54" s="45"/>
      <c r="N54" s="45"/>
      <c r="O54" s="45"/>
      <c r="P54" s="45"/>
      <c r="Q54" s="9"/>
      <c r="R54" s="45"/>
      <c r="S54" s="45"/>
      <c r="T54" s="45"/>
      <c r="U54" s="45"/>
      <c r="V54" s="45"/>
      <c r="W54" s="45"/>
      <c r="X54" s="45"/>
      <c r="Y54" s="45"/>
      <c r="Z54" s="45"/>
      <c r="AA54" s="45"/>
      <c r="AB54" s="45"/>
      <c r="AC54" s="45"/>
      <c r="AD54" s="45"/>
      <c r="AE54" s="45"/>
      <c r="AF54" s="45"/>
      <c r="AG54" s="51"/>
    </row>
    <row r="55" spans="1:33" x14ac:dyDescent="0.2">
      <c r="A55" s="58">
        <v>52</v>
      </c>
      <c r="B55" s="45"/>
      <c r="C55" s="45"/>
      <c r="D55" s="45"/>
      <c r="E55" s="45"/>
      <c r="F55" s="45"/>
      <c r="G55" s="45"/>
      <c r="H55" s="45"/>
      <c r="I55" s="45"/>
      <c r="J55" s="45"/>
      <c r="K55" s="45"/>
      <c r="L55" s="45"/>
      <c r="M55" s="45"/>
      <c r="N55" s="45"/>
      <c r="O55" s="45"/>
      <c r="P55" s="45"/>
      <c r="Q55" s="9"/>
      <c r="R55" s="45"/>
      <c r="S55" s="45"/>
      <c r="T55" s="45"/>
      <c r="U55" s="45"/>
      <c r="V55" s="45"/>
      <c r="W55" s="45"/>
      <c r="X55" s="45"/>
      <c r="Y55" s="45"/>
      <c r="Z55" s="45"/>
      <c r="AA55" s="45"/>
      <c r="AB55" s="45"/>
      <c r="AC55" s="45"/>
      <c r="AD55" s="45"/>
      <c r="AE55" s="45"/>
      <c r="AF55" s="45"/>
      <c r="AG55" s="51"/>
    </row>
    <row r="56" spans="1:33" x14ac:dyDescent="0.2">
      <c r="A56" s="58">
        <v>53</v>
      </c>
      <c r="B56" s="45"/>
      <c r="C56" s="45"/>
      <c r="D56" s="45"/>
      <c r="E56" s="45"/>
      <c r="F56" s="45"/>
      <c r="G56" s="45"/>
      <c r="H56" s="45"/>
      <c r="I56" s="45"/>
      <c r="J56" s="45"/>
      <c r="K56" s="45"/>
      <c r="L56" s="45"/>
      <c r="M56" s="45"/>
      <c r="N56" s="45"/>
      <c r="O56" s="45"/>
      <c r="P56" s="45"/>
      <c r="Q56" s="9"/>
      <c r="R56" s="45"/>
      <c r="S56" s="45"/>
      <c r="T56" s="45"/>
      <c r="U56" s="45"/>
      <c r="V56" s="45"/>
      <c r="W56" s="45"/>
      <c r="X56" s="45"/>
      <c r="Y56" s="45"/>
      <c r="Z56" s="45"/>
      <c r="AA56" s="45"/>
      <c r="AB56" s="45"/>
      <c r="AC56" s="45"/>
      <c r="AD56" s="45"/>
      <c r="AE56" s="45"/>
      <c r="AF56" s="45"/>
      <c r="AG56" s="51"/>
    </row>
    <row r="57" spans="1:33" x14ac:dyDescent="0.2">
      <c r="A57" s="58">
        <v>54</v>
      </c>
      <c r="B57" s="45"/>
      <c r="C57" s="45"/>
      <c r="D57" s="45"/>
      <c r="E57" s="45"/>
      <c r="F57" s="45"/>
      <c r="G57" s="45"/>
      <c r="H57" s="45"/>
      <c r="I57" s="45"/>
      <c r="J57" s="45"/>
      <c r="K57" s="45"/>
      <c r="L57" s="45"/>
      <c r="M57" s="45"/>
      <c r="N57" s="45"/>
      <c r="O57" s="45"/>
      <c r="P57" s="45"/>
      <c r="Q57" s="9"/>
      <c r="R57" s="45"/>
      <c r="S57" s="45"/>
      <c r="T57" s="45"/>
      <c r="U57" s="45"/>
      <c r="V57" s="45"/>
      <c r="W57" s="45"/>
      <c r="X57" s="45"/>
      <c r="Y57" s="45"/>
      <c r="Z57" s="45"/>
      <c r="AA57" s="45"/>
      <c r="AB57" s="45"/>
      <c r="AC57" s="45"/>
      <c r="AD57" s="45"/>
      <c r="AE57" s="45"/>
      <c r="AF57" s="45"/>
      <c r="AG57" s="51"/>
    </row>
    <row r="58" spans="1:33" x14ac:dyDescent="0.2">
      <c r="A58" s="58">
        <v>55</v>
      </c>
      <c r="B58" s="45"/>
      <c r="C58" s="45"/>
      <c r="D58" s="45"/>
      <c r="E58" s="45"/>
      <c r="F58" s="45"/>
      <c r="G58" s="45"/>
      <c r="H58" s="45"/>
      <c r="I58" s="45"/>
      <c r="J58" s="45"/>
      <c r="K58" s="45"/>
      <c r="L58" s="45"/>
      <c r="M58" s="45"/>
      <c r="N58" s="45"/>
      <c r="O58" s="45"/>
      <c r="P58" s="45"/>
      <c r="Q58" s="9"/>
      <c r="R58" s="45"/>
      <c r="S58" s="45"/>
      <c r="T58" s="45"/>
      <c r="U58" s="45"/>
      <c r="V58" s="45"/>
      <c r="W58" s="45"/>
      <c r="X58" s="45"/>
      <c r="Y58" s="45"/>
      <c r="Z58" s="45"/>
      <c r="AA58" s="45"/>
      <c r="AB58" s="45"/>
      <c r="AC58" s="45"/>
      <c r="AD58" s="45"/>
      <c r="AE58" s="45"/>
      <c r="AF58" s="45"/>
      <c r="AG58" s="51"/>
    </row>
    <row r="59" spans="1:33" x14ac:dyDescent="0.2">
      <c r="A59" s="58">
        <v>56</v>
      </c>
      <c r="B59" s="45"/>
      <c r="C59" s="45"/>
      <c r="D59" s="45"/>
      <c r="E59" s="45"/>
      <c r="F59" s="45"/>
      <c r="G59" s="45"/>
      <c r="H59" s="45"/>
      <c r="I59" s="45"/>
      <c r="J59" s="45"/>
      <c r="K59" s="45"/>
      <c r="L59" s="45"/>
      <c r="M59" s="45"/>
      <c r="N59" s="45"/>
      <c r="O59" s="45"/>
      <c r="P59" s="45"/>
      <c r="Q59" s="9"/>
      <c r="R59" s="45"/>
      <c r="S59" s="45"/>
      <c r="T59" s="45"/>
      <c r="U59" s="45"/>
      <c r="V59" s="45"/>
      <c r="W59" s="45"/>
      <c r="X59" s="45"/>
      <c r="Y59" s="45"/>
      <c r="Z59" s="45"/>
      <c r="AA59" s="45"/>
      <c r="AB59" s="45"/>
      <c r="AC59" s="45"/>
      <c r="AD59" s="45"/>
      <c r="AE59" s="45"/>
      <c r="AF59" s="45"/>
      <c r="AG59" s="51"/>
    </row>
    <row r="60" spans="1:33" x14ac:dyDescent="0.2">
      <c r="A60" s="58">
        <v>57</v>
      </c>
      <c r="B60" s="45"/>
      <c r="C60" s="45"/>
      <c r="D60" s="45"/>
      <c r="E60" s="45"/>
      <c r="F60" s="45"/>
      <c r="G60" s="45"/>
      <c r="H60" s="45"/>
      <c r="I60" s="45"/>
      <c r="J60" s="45"/>
      <c r="K60" s="45"/>
      <c r="L60" s="45"/>
      <c r="M60" s="45"/>
      <c r="N60" s="45"/>
      <c r="O60" s="45"/>
      <c r="P60" s="45"/>
      <c r="Q60" s="9"/>
      <c r="R60" s="45"/>
      <c r="S60" s="45"/>
      <c r="T60" s="45"/>
      <c r="U60" s="45"/>
      <c r="V60" s="45"/>
      <c r="W60" s="45"/>
      <c r="X60" s="45"/>
      <c r="Y60" s="45"/>
      <c r="Z60" s="45"/>
      <c r="AA60" s="45"/>
      <c r="AB60" s="45"/>
      <c r="AC60" s="45"/>
      <c r="AD60" s="45"/>
      <c r="AE60" s="45"/>
      <c r="AF60" s="45"/>
      <c r="AG60" s="51"/>
    </row>
    <row r="61" spans="1:33" x14ac:dyDescent="0.2">
      <c r="A61" s="58">
        <v>58</v>
      </c>
      <c r="B61" s="45"/>
      <c r="C61" s="45"/>
      <c r="D61" s="45"/>
      <c r="E61" s="45"/>
      <c r="F61" s="45"/>
      <c r="G61" s="45"/>
      <c r="H61" s="45"/>
      <c r="I61" s="45"/>
      <c r="J61" s="45"/>
      <c r="K61" s="45"/>
      <c r="L61" s="45"/>
      <c r="M61" s="45"/>
      <c r="N61" s="45"/>
      <c r="O61" s="45"/>
      <c r="P61" s="45"/>
      <c r="Q61" s="9"/>
      <c r="R61" s="45"/>
      <c r="S61" s="45"/>
      <c r="T61" s="45"/>
      <c r="U61" s="45"/>
      <c r="V61" s="45"/>
      <c r="W61" s="45"/>
      <c r="X61" s="45"/>
      <c r="Y61" s="45"/>
      <c r="Z61" s="45"/>
      <c r="AA61" s="45"/>
      <c r="AB61" s="45"/>
      <c r="AC61" s="45"/>
      <c r="AD61" s="45"/>
      <c r="AE61" s="45"/>
      <c r="AF61" s="45"/>
      <c r="AG61" s="51"/>
    </row>
    <row r="62" spans="1:33" x14ac:dyDescent="0.2">
      <c r="A62" s="58">
        <v>59</v>
      </c>
      <c r="B62" s="45"/>
      <c r="C62" s="45"/>
      <c r="D62" s="45"/>
      <c r="E62" s="45"/>
      <c r="F62" s="45"/>
      <c r="G62" s="45"/>
      <c r="H62" s="45"/>
      <c r="I62" s="45"/>
      <c r="J62" s="45"/>
      <c r="K62" s="45"/>
      <c r="L62" s="45"/>
      <c r="M62" s="45"/>
      <c r="N62" s="45"/>
      <c r="O62" s="45"/>
      <c r="P62" s="45"/>
      <c r="Q62" s="9"/>
      <c r="R62" s="45"/>
      <c r="S62" s="45"/>
      <c r="T62" s="45"/>
      <c r="U62" s="45"/>
      <c r="V62" s="45"/>
      <c r="W62" s="45"/>
      <c r="X62" s="45"/>
      <c r="Y62" s="45"/>
      <c r="Z62" s="45"/>
      <c r="AA62" s="45"/>
      <c r="AB62" s="45"/>
      <c r="AC62" s="45"/>
      <c r="AD62" s="45"/>
      <c r="AE62" s="45"/>
      <c r="AF62" s="45"/>
      <c r="AG62" s="51"/>
    </row>
    <row r="63" spans="1:33" x14ac:dyDescent="0.2">
      <c r="A63" s="58">
        <v>60</v>
      </c>
      <c r="B63" s="45"/>
      <c r="C63" s="45"/>
      <c r="D63" s="45"/>
      <c r="E63" s="45"/>
      <c r="F63" s="45"/>
      <c r="G63" s="45"/>
      <c r="H63" s="45"/>
      <c r="I63" s="45"/>
      <c r="J63" s="45"/>
      <c r="K63" s="45"/>
      <c r="L63" s="45"/>
      <c r="M63" s="45"/>
      <c r="N63" s="45"/>
      <c r="O63" s="45"/>
      <c r="P63" s="45"/>
      <c r="Q63" s="9"/>
      <c r="R63" s="45"/>
      <c r="S63" s="45"/>
      <c r="T63" s="45"/>
      <c r="U63" s="45"/>
      <c r="V63" s="45"/>
      <c r="W63" s="45"/>
      <c r="X63" s="45"/>
      <c r="Y63" s="45"/>
      <c r="Z63" s="45"/>
      <c r="AA63" s="45"/>
      <c r="AB63" s="45"/>
      <c r="AC63" s="45"/>
      <c r="AD63" s="45"/>
      <c r="AE63" s="45"/>
      <c r="AF63" s="45"/>
      <c r="AG63" s="51"/>
    </row>
    <row r="64" spans="1:33" x14ac:dyDescent="0.2">
      <c r="A64" s="58">
        <v>61</v>
      </c>
      <c r="B64" s="45"/>
      <c r="C64" s="45"/>
      <c r="D64" s="45"/>
      <c r="E64" s="45"/>
      <c r="F64" s="45"/>
      <c r="G64" s="45"/>
      <c r="H64" s="45"/>
      <c r="I64" s="45"/>
      <c r="J64" s="45"/>
      <c r="K64" s="45"/>
      <c r="L64" s="45"/>
      <c r="M64" s="45"/>
      <c r="N64" s="45"/>
      <c r="O64" s="45"/>
      <c r="P64" s="45"/>
      <c r="Q64" s="9"/>
      <c r="R64" s="45"/>
      <c r="S64" s="45"/>
      <c r="T64" s="45"/>
      <c r="U64" s="45"/>
      <c r="V64" s="45"/>
      <c r="W64" s="45"/>
      <c r="X64" s="45"/>
      <c r="Y64" s="45"/>
      <c r="Z64" s="45"/>
      <c r="AA64" s="45"/>
      <c r="AB64" s="45"/>
      <c r="AC64" s="45"/>
      <c r="AD64" s="45"/>
      <c r="AE64" s="45"/>
      <c r="AF64" s="45"/>
      <c r="AG64" s="51"/>
    </row>
    <row r="65" spans="1:33" x14ac:dyDescent="0.2">
      <c r="A65" s="58">
        <v>62</v>
      </c>
      <c r="B65" s="45"/>
      <c r="C65" s="45"/>
      <c r="D65" s="45"/>
      <c r="E65" s="45"/>
      <c r="F65" s="45"/>
      <c r="G65" s="45"/>
      <c r="H65" s="45"/>
      <c r="I65" s="45"/>
      <c r="J65" s="45"/>
      <c r="K65" s="45"/>
      <c r="L65" s="45"/>
      <c r="M65" s="45"/>
      <c r="N65" s="45"/>
      <c r="O65" s="45"/>
      <c r="P65" s="45"/>
      <c r="Q65" s="9"/>
      <c r="R65" s="45"/>
      <c r="S65" s="45"/>
      <c r="T65" s="45"/>
      <c r="U65" s="45"/>
      <c r="V65" s="45"/>
      <c r="W65" s="45"/>
      <c r="X65" s="45"/>
      <c r="Y65" s="45"/>
      <c r="Z65" s="45"/>
      <c r="AA65" s="45"/>
      <c r="AB65" s="45"/>
      <c r="AC65" s="45"/>
      <c r="AD65" s="45"/>
      <c r="AE65" s="45"/>
      <c r="AF65" s="45"/>
      <c r="AG65" s="51"/>
    </row>
    <row r="66" spans="1:33" x14ac:dyDescent="0.2">
      <c r="A66" s="58">
        <v>63</v>
      </c>
      <c r="B66" s="45"/>
      <c r="C66" s="45"/>
      <c r="D66" s="45"/>
      <c r="E66" s="45"/>
      <c r="F66" s="45"/>
      <c r="G66" s="45"/>
      <c r="H66" s="45"/>
      <c r="I66" s="45"/>
      <c r="J66" s="45"/>
      <c r="K66" s="45"/>
      <c r="L66" s="45"/>
      <c r="M66" s="45"/>
      <c r="N66" s="45"/>
      <c r="O66" s="45"/>
      <c r="P66" s="45"/>
      <c r="Q66" s="9"/>
      <c r="R66" s="45"/>
      <c r="S66" s="45"/>
      <c r="T66" s="45"/>
      <c r="U66" s="45"/>
      <c r="V66" s="45"/>
      <c r="W66" s="45"/>
      <c r="X66" s="45"/>
      <c r="Y66" s="45"/>
      <c r="Z66" s="45"/>
      <c r="AA66" s="45"/>
      <c r="AB66" s="45"/>
      <c r="AC66" s="45"/>
      <c r="AD66" s="45"/>
      <c r="AE66" s="45"/>
      <c r="AF66" s="45"/>
      <c r="AG66" s="51"/>
    </row>
    <row r="67" spans="1:33" x14ac:dyDescent="0.2">
      <c r="A67" s="58">
        <v>64</v>
      </c>
      <c r="B67" s="45"/>
      <c r="C67" s="45"/>
      <c r="D67" s="45"/>
      <c r="E67" s="45"/>
      <c r="F67" s="45"/>
      <c r="G67" s="45"/>
      <c r="H67" s="45"/>
      <c r="I67" s="45"/>
      <c r="J67" s="45"/>
      <c r="K67" s="45"/>
      <c r="L67" s="45"/>
      <c r="M67" s="45"/>
      <c r="N67" s="45"/>
      <c r="O67" s="45"/>
      <c r="P67" s="45"/>
      <c r="Q67" s="9"/>
      <c r="R67" s="45"/>
      <c r="S67" s="45"/>
      <c r="T67" s="45"/>
      <c r="U67" s="45"/>
      <c r="V67" s="45"/>
      <c r="W67" s="45"/>
      <c r="X67" s="45"/>
      <c r="Y67" s="45"/>
      <c r="Z67" s="45"/>
      <c r="AA67" s="45"/>
      <c r="AB67" s="45"/>
      <c r="AC67" s="45"/>
      <c r="AD67" s="45"/>
      <c r="AE67" s="45"/>
      <c r="AF67" s="45"/>
      <c r="AG67" s="51"/>
    </row>
    <row r="68" spans="1:33" x14ac:dyDescent="0.2">
      <c r="A68" s="58">
        <v>65</v>
      </c>
      <c r="B68" s="45"/>
      <c r="C68" s="45"/>
      <c r="D68" s="45"/>
      <c r="E68" s="45"/>
      <c r="F68" s="45"/>
      <c r="G68" s="45"/>
      <c r="H68" s="45"/>
      <c r="I68" s="45"/>
      <c r="J68" s="45"/>
      <c r="K68" s="45"/>
      <c r="L68" s="45"/>
      <c r="M68" s="45"/>
      <c r="N68" s="45"/>
      <c r="O68" s="45"/>
      <c r="P68" s="45"/>
      <c r="Q68" s="9"/>
      <c r="R68" s="45"/>
      <c r="S68" s="45"/>
      <c r="T68" s="45"/>
      <c r="U68" s="45"/>
      <c r="V68" s="45"/>
      <c r="W68" s="45"/>
      <c r="X68" s="45"/>
      <c r="Y68" s="45"/>
      <c r="Z68" s="45"/>
      <c r="AA68" s="45"/>
      <c r="AB68" s="45"/>
      <c r="AC68" s="45"/>
      <c r="AD68" s="45"/>
      <c r="AE68" s="45"/>
      <c r="AF68" s="45"/>
      <c r="AG68" s="51"/>
    </row>
    <row r="69" spans="1:33" x14ac:dyDescent="0.2">
      <c r="A69" s="58">
        <v>66</v>
      </c>
      <c r="B69" s="45"/>
      <c r="C69" s="45"/>
      <c r="D69" s="45"/>
      <c r="E69" s="45"/>
      <c r="F69" s="45"/>
      <c r="G69" s="45"/>
      <c r="H69" s="45"/>
      <c r="I69" s="45"/>
      <c r="J69" s="45"/>
      <c r="K69" s="45"/>
      <c r="L69" s="45"/>
      <c r="M69" s="45"/>
      <c r="N69" s="45"/>
      <c r="O69" s="45"/>
      <c r="P69" s="45"/>
      <c r="Q69" s="9"/>
      <c r="R69" s="45"/>
      <c r="S69" s="45"/>
      <c r="T69" s="45"/>
      <c r="U69" s="45"/>
      <c r="V69" s="45"/>
      <c r="W69" s="45"/>
      <c r="X69" s="45"/>
      <c r="Y69" s="45"/>
      <c r="Z69" s="45"/>
      <c r="AA69" s="45"/>
      <c r="AB69" s="45"/>
      <c r="AC69" s="45"/>
      <c r="AD69" s="45"/>
      <c r="AE69" s="45"/>
      <c r="AF69" s="45"/>
      <c r="AG69" s="51"/>
    </row>
    <row r="70" spans="1:33" x14ac:dyDescent="0.2">
      <c r="A70" s="58">
        <v>67</v>
      </c>
      <c r="B70" s="45"/>
      <c r="C70" s="45"/>
      <c r="D70" s="45"/>
      <c r="E70" s="45"/>
      <c r="F70" s="45"/>
      <c r="G70" s="45"/>
      <c r="H70" s="45"/>
      <c r="I70" s="45"/>
      <c r="J70" s="45"/>
      <c r="K70" s="45"/>
      <c r="L70" s="45"/>
      <c r="M70" s="45"/>
      <c r="N70" s="45"/>
      <c r="O70" s="45"/>
      <c r="P70" s="45"/>
      <c r="Q70" s="9"/>
      <c r="R70" s="45"/>
      <c r="S70" s="45"/>
      <c r="T70" s="45"/>
      <c r="U70" s="45"/>
      <c r="V70" s="45"/>
      <c r="W70" s="45"/>
      <c r="X70" s="45"/>
      <c r="Y70" s="45"/>
      <c r="Z70" s="45"/>
      <c r="AA70" s="45"/>
      <c r="AB70" s="45"/>
      <c r="AC70" s="45"/>
      <c r="AD70" s="45"/>
      <c r="AE70" s="45"/>
      <c r="AF70" s="45"/>
      <c r="AG70" s="51"/>
    </row>
    <row r="71" spans="1:33" x14ac:dyDescent="0.2">
      <c r="A71" s="58">
        <v>68</v>
      </c>
      <c r="B71" s="45"/>
      <c r="C71" s="45"/>
      <c r="D71" s="45"/>
      <c r="E71" s="45"/>
      <c r="F71" s="45"/>
      <c r="G71" s="45"/>
      <c r="H71" s="45"/>
      <c r="I71" s="45"/>
      <c r="J71" s="45"/>
      <c r="K71" s="45"/>
      <c r="L71" s="45"/>
      <c r="M71" s="45"/>
      <c r="N71" s="45"/>
      <c r="O71" s="45"/>
      <c r="P71" s="45"/>
      <c r="Q71" s="9"/>
      <c r="R71" s="45"/>
      <c r="S71" s="45"/>
      <c r="T71" s="45"/>
      <c r="U71" s="45"/>
      <c r="V71" s="45"/>
      <c r="W71" s="45"/>
      <c r="X71" s="45"/>
      <c r="Y71" s="45"/>
      <c r="Z71" s="45"/>
      <c r="AA71" s="45"/>
      <c r="AB71" s="45"/>
      <c r="AC71" s="45"/>
      <c r="AD71" s="45"/>
      <c r="AE71" s="45"/>
      <c r="AF71" s="45"/>
      <c r="AG71" s="51"/>
    </row>
    <row r="72" spans="1:33" x14ac:dyDescent="0.2">
      <c r="A72" s="58">
        <v>69</v>
      </c>
      <c r="B72" s="45"/>
      <c r="C72" s="45"/>
      <c r="D72" s="45"/>
      <c r="E72" s="45"/>
      <c r="F72" s="45"/>
      <c r="G72" s="45"/>
      <c r="H72" s="45"/>
      <c r="I72" s="45"/>
      <c r="J72" s="45"/>
      <c r="K72" s="45"/>
      <c r="L72" s="45"/>
      <c r="M72" s="45"/>
      <c r="N72" s="45"/>
      <c r="O72" s="45"/>
      <c r="P72" s="45"/>
      <c r="Q72" s="9"/>
      <c r="R72" s="45"/>
      <c r="S72" s="45"/>
      <c r="T72" s="45"/>
      <c r="U72" s="45"/>
      <c r="V72" s="45"/>
      <c r="W72" s="45"/>
      <c r="X72" s="45"/>
      <c r="Y72" s="45"/>
      <c r="Z72" s="45"/>
      <c r="AA72" s="45"/>
      <c r="AB72" s="45"/>
      <c r="AC72" s="45"/>
      <c r="AD72" s="45"/>
      <c r="AE72" s="45"/>
      <c r="AF72" s="45"/>
      <c r="AG72" s="51"/>
    </row>
    <row r="73" spans="1:33" x14ac:dyDescent="0.2">
      <c r="A73" s="58">
        <v>70</v>
      </c>
      <c r="B73" s="45"/>
      <c r="C73" s="45"/>
      <c r="D73" s="45"/>
      <c r="E73" s="45"/>
      <c r="F73" s="45"/>
      <c r="G73" s="45"/>
      <c r="H73" s="45"/>
      <c r="I73" s="45"/>
      <c r="J73" s="45"/>
      <c r="K73" s="45"/>
      <c r="L73" s="45"/>
      <c r="M73" s="45"/>
      <c r="N73" s="45"/>
      <c r="O73" s="45"/>
      <c r="P73" s="45"/>
      <c r="Q73" s="9"/>
      <c r="R73" s="45"/>
      <c r="S73" s="45"/>
      <c r="T73" s="45"/>
      <c r="U73" s="45"/>
      <c r="V73" s="45"/>
      <c r="W73" s="45"/>
      <c r="X73" s="45"/>
      <c r="Y73" s="45"/>
      <c r="Z73" s="45"/>
      <c r="AA73" s="45"/>
      <c r="AB73" s="45"/>
      <c r="AC73" s="45"/>
      <c r="AD73" s="45"/>
      <c r="AE73" s="45"/>
      <c r="AF73" s="45"/>
      <c r="AG73" s="51"/>
    </row>
    <row r="74" spans="1:33" x14ac:dyDescent="0.2">
      <c r="A74" s="58">
        <v>71</v>
      </c>
      <c r="B74" s="45"/>
      <c r="C74" s="45"/>
      <c r="D74" s="45"/>
      <c r="E74" s="45"/>
      <c r="F74" s="45"/>
      <c r="G74" s="45"/>
      <c r="H74" s="45"/>
      <c r="I74" s="45"/>
      <c r="J74" s="45"/>
      <c r="K74" s="45"/>
      <c r="L74" s="45"/>
      <c r="M74" s="45"/>
      <c r="N74" s="45"/>
      <c r="O74" s="45"/>
      <c r="P74" s="45"/>
      <c r="Q74" s="9"/>
      <c r="R74" s="45"/>
      <c r="S74" s="45"/>
      <c r="T74" s="45"/>
      <c r="U74" s="45"/>
      <c r="V74" s="45"/>
      <c r="W74" s="45"/>
      <c r="X74" s="45"/>
      <c r="Y74" s="45"/>
      <c r="Z74" s="45"/>
      <c r="AA74" s="45"/>
      <c r="AB74" s="45"/>
      <c r="AC74" s="45"/>
      <c r="AD74" s="45"/>
      <c r="AE74" s="45"/>
      <c r="AF74" s="45"/>
      <c r="AG74" s="51"/>
    </row>
    <row r="75" spans="1:33" x14ac:dyDescent="0.2">
      <c r="A75" s="58">
        <v>72</v>
      </c>
      <c r="B75" s="45"/>
      <c r="C75" s="45"/>
      <c r="D75" s="45"/>
      <c r="E75" s="45"/>
      <c r="F75" s="45"/>
      <c r="G75" s="45"/>
      <c r="H75" s="45"/>
      <c r="I75" s="45"/>
      <c r="J75" s="45"/>
      <c r="K75" s="45"/>
      <c r="L75" s="45"/>
      <c r="M75" s="45"/>
      <c r="N75" s="45"/>
      <c r="O75" s="45"/>
      <c r="P75" s="45"/>
      <c r="Q75" s="9"/>
      <c r="R75" s="45"/>
      <c r="S75" s="45"/>
      <c r="T75" s="45"/>
      <c r="U75" s="45"/>
      <c r="V75" s="45"/>
      <c r="W75" s="45"/>
      <c r="X75" s="45"/>
      <c r="Y75" s="45"/>
      <c r="Z75" s="45"/>
      <c r="AA75" s="45"/>
      <c r="AB75" s="45"/>
      <c r="AC75" s="45"/>
      <c r="AD75" s="45"/>
      <c r="AE75" s="45"/>
      <c r="AF75" s="45"/>
      <c r="AG75" s="51"/>
    </row>
    <row r="76" spans="1:33" x14ac:dyDescent="0.2">
      <c r="A76" s="58">
        <v>73</v>
      </c>
      <c r="B76" s="45"/>
      <c r="C76" s="45"/>
      <c r="D76" s="45"/>
      <c r="E76" s="45"/>
      <c r="F76" s="45"/>
      <c r="G76" s="45"/>
      <c r="H76" s="45"/>
      <c r="I76" s="45"/>
      <c r="J76" s="45"/>
      <c r="K76" s="45"/>
      <c r="L76" s="45"/>
      <c r="M76" s="45"/>
      <c r="N76" s="45"/>
      <c r="O76" s="45"/>
      <c r="P76" s="45"/>
      <c r="Q76" s="9"/>
      <c r="R76" s="45"/>
      <c r="S76" s="45"/>
      <c r="T76" s="45"/>
      <c r="U76" s="45"/>
      <c r="V76" s="45"/>
      <c r="W76" s="45"/>
      <c r="X76" s="45"/>
      <c r="Y76" s="45"/>
      <c r="Z76" s="45"/>
      <c r="AA76" s="45"/>
      <c r="AB76" s="45"/>
      <c r="AC76" s="45"/>
      <c r="AD76" s="45"/>
      <c r="AE76" s="45"/>
      <c r="AF76" s="45"/>
      <c r="AG76" s="51"/>
    </row>
    <row r="77" spans="1:33" x14ac:dyDescent="0.2">
      <c r="A77" s="58">
        <v>74</v>
      </c>
      <c r="B77" s="45"/>
      <c r="C77" s="45"/>
      <c r="D77" s="45"/>
      <c r="E77" s="45"/>
      <c r="F77" s="45"/>
      <c r="G77" s="45"/>
      <c r="H77" s="45"/>
      <c r="I77" s="45"/>
      <c r="J77" s="45"/>
      <c r="K77" s="45"/>
      <c r="L77" s="45"/>
      <c r="M77" s="45"/>
      <c r="N77" s="45"/>
      <c r="O77" s="45"/>
      <c r="P77" s="45"/>
      <c r="Q77" s="9"/>
      <c r="R77" s="45"/>
      <c r="S77" s="45"/>
      <c r="T77" s="45"/>
      <c r="U77" s="45"/>
      <c r="V77" s="45"/>
      <c r="W77" s="45"/>
      <c r="X77" s="45"/>
      <c r="Y77" s="45"/>
      <c r="Z77" s="45"/>
      <c r="AA77" s="45"/>
      <c r="AB77" s="45"/>
      <c r="AC77" s="45"/>
      <c r="AD77" s="45"/>
      <c r="AE77" s="45"/>
      <c r="AF77" s="45"/>
      <c r="AG77" s="51"/>
    </row>
    <row r="78" spans="1:33" x14ac:dyDescent="0.2">
      <c r="A78" s="58">
        <v>75</v>
      </c>
      <c r="B78" s="45"/>
      <c r="C78" s="45"/>
      <c r="D78" s="45"/>
      <c r="E78" s="45"/>
      <c r="F78" s="45"/>
      <c r="G78" s="45"/>
      <c r="H78" s="45"/>
      <c r="I78" s="45"/>
      <c r="J78" s="45"/>
      <c r="K78" s="45"/>
      <c r="L78" s="45"/>
      <c r="M78" s="45"/>
      <c r="N78" s="45"/>
      <c r="O78" s="45"/>
      <c r="P78" s="45"/>
      <c r="Q78" s="9"/>
      <c r="R78" s="45"/>
      <c r="S78" s="45"/>
      <c r="T78" s="45"/>
      <c r="U78" s="45"/>
      <c r="V78" s="45"/>
      <c r="W78" s="45"/>
      <c r="X78" s="45"/>
      <c r="Y78" s="45"/>
      <c r="Z78" s="45"/>
      <c r="AA78" s="45"/>
      <c r="AB78" s="45"/>
      <c r="AC78" s="45"/>
      <c r="AD78" s="45"/>
      <c r="AE78" s="45"/>
      <c r="AF78" s="45"/>
      <c r="AG78" s="51"/>
    </row>
    <row r="79" spans="1:33" x14ac:dyDescent="0.2">
      <c r="A79" s="58">
        <v>76</v>
      </c>
      <c r="B79" s="45"/>
      <c r="C79" s="45"/>
      <c r="D79" s="45"/>
      <c r="E79" s="45"/>
      <c r="F79" s="45"/>
      <c r="G79" s="45"/>
      <c r="H79" s="45"/>
      <c r="I79" s="45"/>
      <c r="J79" s="45"/>
      <c r="K79" s="45"/>
      <c r="L79" s="45"/>
      <c r="M79" s="45"/>
      <c r="N79" s="45"/>
      <c r="O79" s="45"/>
      <c r="P79" s="45"/>
      <c r="Q79" s="9"/>
      <c r="R79" s="45"/>
      <c r="S79" s="45"/>
      <c r="T79" s="45"/>
      <c r="U79" s="45"/>
      <c r="V79" s="45"/>
      <c r="W79" s="45"/>
      <c r="X79" s="45"/>
      <c r="Y79" s="45"/>
      <c r="Z79" s="45"/>
      <c r="AA79" s="45"/>
      <c r="AB79" s="45"/>
      <c r="AC79" s="45"/>
      <c r="AD79" s="45"/>
      <c r="AE79" s="45"/>
      <c r="AF79" s="45"/>
      <c r="AG79" s="51"/>
    </row>
    <row r="80" spans="1:33" x14ac:dyDescent="0.2">
      <c r="A80" s="58">
        <v>77</v>
      </c>
      <c r="B80" s="45"/>
      <c r="C80" s="45"/>
      <c r="D80" s="45"/>
      <c r="E80" s="45"/>
      <c r="F80" s="45"/>
      <c r="G80" s="45"/>
      <c r="H80" s="45"/>
      <c r="I80" s="45"/>
      <c r="J80" s="45"/>
      <c r="K80" s="45"/>
      <c r="L80" s="45"/>
      <c r="M80" s="45"/>
      <c r="N80" s="45"/>
      <c r="O80" s="45"/>
      <c r="P80" s="45"/>
      <c r="Q80" s="9"/>
      <c r="R80" s="45"/>
      <c r="S80" s="45"/>
      <c r="T80" s="45"/>
      <c r="U80" s="45"/>
      <c r="V80" s="45"/>
      <c r="W80" s="45"/>
      <c r="X80" s="45"/>
      <c r="Y80" s="45"/>
      <c r="Z80" s="45"/>
      <c r="AA80" s="45"/>
      <c r="AB80" s="45"/>
      <c r="AC80" s="45"/>
      <c r="AD80" s="45"/>
      <c r="AE80" s="45"/>
      <c r="AF80" s="45"/>
      <c r="AG80" s="51"/>
    </row>
    <row r="81" spans="1:33" x14ac:dyDescent="0.2">
      <c r="A81" s="58">
        <v>78</v>
      </c>
      <c r="B81" s="45"/>
      <c r="C81" s="45"/>
      <c r="D81" s="45"/>
      <c r="E81" s="45"/>
      <c r="F81" s="45"/>
      <c r="G81" s="45"/>
      <c r="H81" s="45"/>
      <c r="I81" s="45"/>
      <c r="J81" s="45"/>
      <c r="K81" s="45"/>
      <c r="L81" s="45"/>
      <c r="M81" s="45"/>
      <c r="N81" s="45"/>
      <c r="O81" s="45"/>
      <c r="P81" s="45"/>
      <c r="Q81" s="9"/>
      <c r="R81" s="45"/>
      <c r="S81" s="45"/>
      <c r="T81" s="45"/>
      <c r="U81" s="45"/>
      <c r="V81" s="45"/>
      <c r="W81" s="45"/>
      <c r="X81" s="45"/>
      <c r="Y81" s="45"/>
      <c r="Z81" s="45"/>
      <c r="AA81" s="45"/>
      <c r="AB81" s="45"/>
      <c r="AC81" s="45"/>
      <c r="AD81" s="45"/>
      <c r="AE81" s="45"/>
      <c r="AF81" s="45"/>
      <c r="AG81" s="51"/>
    </row>
    <row r="82" spans="1:33" x14ac:dyDescent="0.2">
      <c r="A82" s="58">
        <v>79</v>
      </c>
      <c r="B82" s="45"/>
      <c r="C82" s="45"/>
      <c r="D82" s="45"/>
      <c r="E82" s="45"/>
      <c r="F82" s="45"/>
      <c r="G82" s="45"/>
      <c r="H82" s="45"/>
      <c r="I82" s="45"/>
      <c r="J82" s="45"/>
      <c r="K82" s="45"/>
      <c r="L82" s="45"/>
      <c r="M82" s="45"/>
      <c r="N82" s="45"/>
      <c r="O82" s="45"/>
      <c r="P82" s="45"/>
      <c r="Q82" s="9"/>
      <c r="R82" s="45"/>
      <c r="S82" s="45"/>
      <c r="T82" s="45"/>
      <c r="U82" s="45"/>
      <c r="V82" s="45"/>
      <c r="W82" s="45"/>
      <c r="X82" s="45"/>
      <c r="Y82" s="45"/>
      <c r="Z82" s="45"/>
      <c r="AA82" s="45"/>
      <c r="AB82" s="45"/>
      <c r="AC82" s="45"/>
      <c r="AD82" s="45"/>
      <c r="AE82" s="45"/>
      <c r="AF82" s="45"/>
      <c r="AG82" s="51"/>
    </row>
    <row r="83" spans="1:33" x14ac:dyDescent="0.2">
      <c r="A83" s="58">
        <v>80</v>
      </c>
      <c r="B83" s="45"/>
      <c r="C83" s="45"/>
      <c r="D83" s="45"/>
      <c r="E83" s="45"/>
      <c r="F83" s="45"/>
      <c r="G83" s="45"/>
      <c r="H83" s="45"/>
      <c r="I83" s="45"/>
      <c r="J83" s="45"/>
      <c r="K83" s="45"/>
      <c r="L83" s="45"/>
      <c r="M83" s="45"/>
      <c r="N83" s="45"/>
      <c r="O83" s="45"/>
      <c r="P83" s="45"/>
      <c r="Q83" s="9"/>
      <c r="R83" s="45"/>
      <c r="S83" s="45"/>
      <c r="T83" s="45"/>
      <c r="U83" s="45"/>
      <c r="V83" s="45"/>
      <c r="W83" s="45"/>
      <c r="X83" s="45"/>
      <c r="Y83" s="45"/>
      <c r="Z83" s="45"/>
      <c r="AA83" s="45"/>
      <c r="AB83" s="45"/>
      <c r="AC83" s="45"/>
      <c r="AD83" s="45"/>
      <c r="AE83" s="45"/>
      <c r="AF83" s="45"/>
      <c r="AG83" s="51"/>
    </row>
    <row r="84" spans="1:33" x14ac:dyDescent="0.2">
      <c r="A84" s="58">
        <v>81</v>
      </c>
      <c r="B84" s="45"/>
      <c r="C84" s="45"/>
      <c r="D84" s="45"/>
      <c r="E84" s="45"/>
      <c r="F84" s="45"/>
      <c r="G84" s="45"/>
      <c r="H84" s="45"/>
      <c r="I84" s="45"/>
      <c r="J84" s="45"/>
      <c r="K84" s="45"/>
      <c r="L84" s="45"/>
      <c r="M84" s="45"/>
      <c r="N84" s="45"/>
      <c r="O84" s="45"/>
      <c r="P84" s="45"/>
      <c r="Q84" s="9"/>
      <c r="R84" s="45"/>
      <c r="S84" s="45"/>
      <c r="T84" s="45"/>
      <c r="U84" s="45"/>
      <c r="V84" s="45"/>
      <c r="W84" s="45"/>
      <c r="X84" s="45"/>
      <c r="Y84" s="45"/>
      <c r="Z84" s="45"/>
      <c r="AA84" s="45"/>
      <c r="AB84" s="45"/>
      <c r="AC84" s="45"/>
      <c r="AD84" s="45"/>
      <c r="AE84" s="45"/>
      <c r="AF84" s="45"/>
      <c r="AG84" s="51"/>
    </row>
    <row r="85" spans="1:33" x14ac:dyDescent="0.2">
      <c r="A85" s="58">
        <v>82</v>
      </c>
      <c r="B85" s="45"/>
      <c r="C85" s="45"/>
      <c r="D85" s="45"/>
      <c r="E85" s="45"/>
      <c r="F85" s="45"/>
      <c r="G85" s="45"/>
      <c r="H85" s="45"/>
      <c r="I85" s="45"/>
      <c r="J85" s="45"/>
      <c r="K85" s="45"/>
      <c r="L85" s="45"/>
      <c r="M85" s="45"/>
      <c r="N85" s="45"/>
      <c r="O85" s="45"/>
      <c r="P85" s="45"/>
      <c r="Q85" s="9"/>
      <c r="R85" s="45"/>
      <c r="S85" s="45"/>
      <c r="T85" s="45"/>
      <c r="U85" s="45"/>
      <c r="V85" s="45"/>
      <c r="W85" s="45"/>
      <c r="X85" s="45"/>
      <c r="Y85" s="45"/>
      <c r="Z85" s="45"/>
      <c r="AA85" s="45"/>
      <c r="AB85" s="45"/>
      <c r="AC85" s="45"/>
      <c r="AD85" s="45"/>
      <c r="AE85" s="45"/>
      <c r="AF85" s="45"/>
      <c r="AG85" s="51"/>
    </row>
    <row r="86" spans="1:33" x14ac:dyDescent="0.2">
      <c r="A86" s="58">
        <v>83</v>
      </c>
      <c r="B86" s="45"/>
      <c r="C86" s="45"/>
      <c r="D86" s="45"/>
      <c r="E86" s="45"/>
      <c r="F86" s="45"/>
      <c r="G86" s="45"/>
      <c r="H86" s="45"/>
      <c r="I86" s="45"/>
      <c r="J86" s="45"/>
      <c r="K86" s="45"/>
      <c r="L86" s="45"/>
      <c r="M86" s="45"/>
      <c r="N86" s="45"/>
      <c r="O86" s="45"/>
      <c r="P86" s="45"/>
      <c r="Q86" s="9"/>
      <c r="R86" s="45"/>
      <c r="S86" s="45"/>
      <c r="T86" s="45"/>
      <c r="U86" s="45"/>
      <c r="V86" s="45"/>
      <c r="W86" s="45"/>
      <c r="X86" s="45"/>
      <c r="Y86" s="45"/>
      <c r="Z86" s="45"/>
      <c r="AA86" s="45"/>
      <c r="AB86" s="45"/>
      <c r="AC86" s="45"/>
      <c r="AD86" s="45"/>
      <c r="AE86" s="45"/>
      <c r="AF86" s="45"/>
      <c r="AG86" s="51"/>
    </row>
    <row r="87" spans="1:33" x14ac:dyDescent="0.2">
      <c r="A87" s="58">
        <v>84</v>
      </c>
      <c r="B87" s="45"/>
      <c r="C87" s="45"/>
      <c r="D87" s="45"/>
      <c r="E87" s="45"/>
      <c r="F87" s="45"/>
      <c r="G87" s="45"/>
      <c r="H87" s="45"/>
      <c r="I87" s="45"/>
      <c r="J87" s="45"/>
      <c r="K87" s="45"/>
      <c r="L87" s="45"/>
      <c r="M87" s="45"/>
      <c r="N87" s="45"/>
      <c r="O87" s="45"/>
      <c r="P87" s="45"/>
      <c r="Q87" s="9"/>
      <c r="R87" s="45"/>
      <c r="S87" s="45"/>
      <c r="T87" s="45"/>
      <c r="U87" s="45"/>
      <c r="V87" s="45"/>
      <c r="W87" s="45"/>
      <c r="X87" s="45"/>
      <c r="Y87" s="45"/>
      <c r="Z87" s="45"/>
      <c r="AA87" s="45"/>
      <c r="AB87" s="45"/>
      <c r="AC87" s="45"/>
      <c r="AD87" s="45"/>
      <c r="AE87" s="45"/>
      <c r="AF87" s="45"/>
      <c r="AG87" s="51"/>
    </row>
    <row r="88" spans="1:33" x14ac:dyDescent="0.2">
      <c r="A88" s="58">
        <v>85</v>
      </c>
      <c r="B88" s="45"/>
      <c r="C88" s="45"/>
      <c r="D88" s="45"/>
      <c r="E88" s="45"/>
      <c r="F88" s="45"/>
      <c r="G88" s="45"/>
      <c r="H88" s="45"/>
      <c r="I88" s="45"/>
      <c r="J88" s="45"/>
      <c r="K88" s="45"/>
      <c r="L88" s="45"/>
      <c r="M88" s="45"/>
      <c r="N88" s="45"/>
      <c r="O88" s="45"/>
      <c r="P88" s="45"/>
      <c r="Q88" s="9"/>
      <c r="R88" s="45"/>
      <c r="S88" s="45"/>
      <c r="T88" s="45"/>
      <c r="U88" s="45"/>
      <c r="V88" s="45"/>
      <c r="W88" s="45"/>
      <c r="X88" s="45"/>
      <c r="Y88" s="45"/>
      <c r="Z88" s="45"/>
      <c r="AA88" s="45"/>
      <c r="AB88" s="45"/>
      <c r="AC88" s="45"/>
      <c r="AD88" s="45"/>
      <c r="AE88" s="45"/>
      <c r="AF88" s="45"/>
      <c r="AG88" s="51"/>
    </row>
    <row r="89" spans="1:33" x14ac:dyDescent="0.2">
      <c r="A89" s="58">
        <v>86</v>
      </c>
      <c r="B89" s="45"/>
      <c r="C89" s="45"/>
      <c r="D89" s="45"/>
      <c r="E89" s="45"/>
      <c r="F89" s="45"/>
      <c r="G89" s="45"/>
      <c r="H89" s="45"/>
      <c r="I89" s="45"/>
      <c r="J89" s="45"/>
      <c r="K89" s="45"/>
      <c r="L89" s="45"/>
      <c r="M89" s="45"/>
      <c r="N89" s="45"/>
      <c r="O89" s="45"/>
      <c r="P89" s="45"/>
      <c r="Q89" s="9"/>
      <c r="R89" s="45"/>
      <c r="S89" s="45"/>
      <c r="T89" s="45"/>
      <c r="U89" s="45"/>
      <c r="V89" s="45"/>
      <c r="W89" s="45"/>
      <c r="X89" s="45"/>
      <c r="Y89" s="45"/>
      <c r="Z89" s="45"/>
      <c r="AA89" s="45"/>
      <c r="AB89" s="45"/>
      <c r="AC89" s="45"/>
      <c r="AD89" s="45"/>
      <c r="AE89" s="45"/>
      <c r="AF89" s="45"/>
      <c r="AG89" s="51"/>
    </row>
    <row r="90" spans="1:33" x14ac:dyDescent="0.2">
      <c r="A90" s="58">
        <v>87</v>
      </c>
      <c r="B90" s="45"/>
      <c r="C90" s="45"/>
      <c r="D90" s="45"/>
      <c r="E90" s="45"/>
      <c r="F90" s="45"/>
      <c r="G90" s="45"/>
      <c r="H90" s="45"/>
      <c r="I90" s="45"/>
      <c r="J90" s="45"/>
      <c r="K90" s="45"/>
      <c r="L90" s="45"/>
      <c r="M90" s="45"/>
      <c r="N90" s="45"/>
      <c r="O90" s="45"/>
      <c r="P90" s="45"/>
      <c r="Q90" s="9"/>
      <c r="R90" s="45"/>
      <c r="S90" s="45"/>
      <c r="T90" s="45"/>
      <c r="U90" s="45"/>
      <c r="V90" s="45"/>
      <c r="W90" s="45"/>
      <c r="X90" s="45"/>
      <c r="Y90" s="45"/>
      <c r="Z90" s="45"/>
      <c r="AA90" s="45"/>
      <c r="AB90" s="45"/>
      <c r="AC90" s="45"/>
      <c r="AD90" s="45"/>
      <c r="AE90" s="45"/>
      <c r="AF90" s="45"/>
      <c r="AG90" s="51"/>
    </row>
    <row r="91" spans="1:33" x14ac:dyDescent="0.2">
      <c r="A91" s="58">
        <v>88</v>
      </c>
      <c r="B91" s="45"/>
      <c r="C91" s="45"/>
      <c r="D91" s="45"/>
      <c r="E91" s="45"/>
      <c r="F91" s="45"/>
      <c r="G91" s="45"/>
      <c r="H91" s="45"/>
      <c r="I91" s="45"/>
      <c r="J91" s="45"/>
      <c r="K91" s="45"/>
      <c r="L91" s="45"/>
      <c r="M91" s="45"/>
      <c r="N91" s="45"/>
      <c r="O91" s="45"/>
      <c r="P91" s="45"/>
      <c r="Q91" s="9"/>
      <c r="R91" s="45"/>
      <c r="S91" s="45"/>
      <c r="T91" s="45"/>
      <c r="U91" s="45"/>
      <c r="V91" s="45"/>
      <c r="W91" s="45"/>
      <c r="X91" s="45"/>
      <c r="Y91" s="45"/>
      <c r="Z91" s="45"/>
      <c r="AA91" s="45"/>
      <c r="AB91" s="45"/>
      <c r="AC91" s="45"/>
      <c r="AD91" s="45"/>
      <c r="AE91" s="45"/>
      <c r="AF91" s="45"/>
      <c r="AG91" s="51"/>
    </row>
    <row r="92" spans="1:33" x14ac:dyDescent="0.2">
      <c r="A92" s="58">
        <v>89</v>
      </c>
      <c r="B92" s="45"/>
      <c r="C92" s="45"/>
      <c r="D92" s="45"/>
      <c r="E92" s="45"/>
      <c r="F92" s="45"/>
      <c r="G92" s="45"/>
      <c r="H92" s="45"/>
      <c r="I92" s="45"/>
      <c r="J92" s="45"/>
      <c r="K92" s="45"/>
      <c r="L92" s="45"/>
      <c r="M92" s="45"/>
      <c r="N92" s="45"/>
      <c r="O92" s="45"/>
      <c r="P92" s="45"/>
      <c r="Q92" s="9"/>
      <c r="R92" s="45"/>
      <c r="S92" s="45"/>
      <c r="T92" s="45"/>
      <c r="U92" s="45"/>
      <c r="V92" s="45"/>
      <c r="W92" s="45"/>
      <c r="X92" s="45"/>
      <c r="Y92" s="45"/>
      <c r="Z92" s="45"/>
      <c r="AA92" s="45"/>
      <c r="AB92" s="45"/>
      <c r="AC92" s="45"/>
      <c r="AD92" s="45"/>
      <c r="AE92" s="45"/>
      <c r="AF92" s="45"/>
      <c r="AG92" s="51"/>
    </row>
    <row r="93" spans="1:33" x14ac:dyDescent="0.2">
      <c r="A93" s="58">
        <v>90</v>
      </c>
      <c r="B93" s="45"/>
      <c r="C93" s="45"/>
      <c r="D93" s="45"/>
      <c r="E93" s="45"/>
      <c r="F93" s="45"/>
      <c r="G93" s="45"/>
      <c r="H93" s="45"/>
      <c r="I93" s="45"/>
      <c r="J93" s="45"/>
      <c r="K93" s="45"/>
      <c r="L93" s="45"/>
      <c r="M93" s="45"/>
      <c r="N93" s="45"/>
      <c r="O93" s="45"/>
      <c r="P93" s="45"/>
      <c r="Q93" s="9"/>
      <c r="R93" s="45"/>
      <c r="S93" s="45"/>
      <c r="T93" s="45"/>
      <c r="U93" s="45"/>
      <c r="V93" s="45"/>
      <c r="W93" s="45"/>
      <c r="X93" s="45"/>
      <c r="Y93" s="45"/>
      <c r="Z93" s="45"/>
      <c r="AA93" s="45"/>
      <c r="AB93" s="45"/>
      <c r="AC93" s="45"/>
      <c r="AD93" s="45"/>
      <c r="AE93" s="45"/>
      <c r="AF93" s="45"/>
      <c r="AG93" s="51"/>
    </row>
    <row r="94" spans="1:33" x14ac:dyDescent="0.2">
      <c r="A94" s="58">
        <v>91</v>
      </c>
      <c r="B94" s="45"/>
      <c r="C94" s="45"/>
      <c r="D94" s="45"/>
      <c r="E94" s="45"/>
      <c r="F94" s="45"/>
      <c r="G94" s="45"/>
      <c r="H94" s="45"/>
      <c r="I94" s="45"/>
      <c r="J94" s="45"/>
      <c r="K94" s="45"/>
      <c r="L94" s="45"/>
      <c r="M94" s="45"/>
      <c r="N94" s="45"/>
      <c r="O94" s="45"/>
      <c r="P94" s="45"/>
      <c r="Q94" s="9"/>
      <c r="R94" s="45"/>
      <c r="S94" s="45"/>
      <c r="T94" s="45"/>
      <c r="U94" s="45"/>
      <c r="V94" s="45"/>
      <c r="W94" s="45"/>
      <c r="X94" s="45"/>
      <c r="Y94" s="45"/>
      <c r="Z94" s="45"/>
      <c r="AA94" s="45"/>
      <c r="AB94" s="45"/>
      <c r="AC94" s="45"/>
      <c r="AD94" s="45"/>
      <c r="AE94" s="45"/>
      <c r="AF94" s="45"/>
      <c r="AG94" s="51"/>
    </row>
    <row r="95" spans="1:33" x14ac:dyDescent="0.2">
      <c r="A95" s="58">
        <v>92</v>
      </c>
      <c r="B95" s="45"/>
      <c r="C95" s="45"/>
      <c r="D95" s="45"/>
      <c r="E95" s="45"/>
      <c r="F95" s="45"/>
      <c r="G95" s="45"/>
      <c r="H95" s="45"/>
      <c r="I95" s="45"/>
      <c r="J95" s="45"/>
      <c r="K95" s="45"/>
      <c r="L95" s="45"/>
      <c r="M95" s="45"/>
      <c r="N95" s="45"/>
      <c r="O95" s="45"/>
      <c r="P95" s="45"/>
      <c r="Q95" s="9"/>
      <c r="R95" s="45"/>
      <c r="S95" s="45"/>
      <c r="T95" s="45"/>
      <c r="U95" s="45"/>
      <c r="V95" s="45"/>
      <c r="W95" s="45"/>
      <c r="X95" s="45"/>
      <c r="Y95" s="45"/>
      <c r="Z95" s="45"/>
      <c r="AA95" s="45"/>
      <c r="AB95" s="45"/>
      <c r="AC95" s="45"/>
      <c r="AD95" s="45"/>
      <c r="AE95" s="45"/>
      <c r="AF95" s="45"/>
      <c r="AG95" s="51"/>
    </row>
    <row r="96" spans="1:33" x14ac:dyDescent="0.2">
      <c r="A96" s="58">
        <v>93</v>
      </c>
      <c r="B96" s="45"/>
      <c r="C96" s="45"/>
      <c r="D96" s="45"/>
      <c r="E96" s="45"/>
      <c r="F96" s="45"/>
      <c r="G96" s="45"/>
      <c r="H96" s="45"/>
      <c r="I96" s="45"/>
      <c r="J96" s="45"/>
      <c r="K96" s="45"/>
      <c r="L96" s="45"/>
      <c r="M96" s="45"/>
      <c r="N96" s="45"/>
      <c r="O96" s="45"/>
      <c r="P96" s="45"/>
      <c r="Q96" s="9"/>
      <c r="R96" s="45"/>
      <c r="S96" s="45"/>
      <c r="T96" s="45"/>
      <c r="U96" s="45"/>
      <c r="V96" s="45"/>
      <c r="W96" s="45"/>
      <c r="X96" s="45"/>
      <c r="Y96" s="45"/>
      <c r="Z96" s="45"/>
      <c r="AA96" s="45"/>
      <c r="AB96" s="45"/>
      <c r="AC96" s="45"/>
      <c r="AD96" s="45"/>
      <c r="AE96" s="45"/>
      <c r="AF96" s="45"/>
      <c r="AG96" s="51"/>
    </row>
    <row r="97" spans="1:33" x14ac:dyDescent="0.2">
      <c r="A97" s="58">
        <v>94</v>
      </c>
      <c r="B97" s="45"/>
      <c r="C97" s="45"/>
      <c r="D97" s="45"/>
      <c r="E97" s="45"/>
      <c r="F97" s="45"/>
      <c r="G97" s="45"/>
      <c r="H97" s="45"/>
      <c r="I97" s="45"/>
      <c r="J97" s="45"/>
      <c r="K97" s="45"/>
      <c r="L97" s="45"/>
      <c r="M97" s="45"/>
      <c r="N97" s="45"/>
      <c r="O97" s="45"/>
      <c r="P97" s="45"/>
      <c r="Q97" s="9"/>
      <c r="R97" s="45"/>
      <c r="S97" s="45"/>
      <c r="T97" s="45"/>
      <c r="U97" s="45"/>
      <c r="V97" s="45"/>
      <c r="W97" s="45"/>
      <c r="X97" s="45"/>
      <c r="Y97" s="45"/>
      <c r="Z97" s="45"/>
      <c r="AA97" s="45"/>
      <c r="AB97" s="45"/>
      <c r="AC97" s="45"/>
      <c r="AD97" s="45"/>
      <c r="AE97" s="45"/>
      <c r="AF97" s="45"/>
      <c r="AG97" s="51"/>
    </row>
    <row r="98" spans="1:33" x14ac:dyDescent="0.2">
      <c r="A98" s="58">
        <v>95</v>
      </c>
      <c r="B98" s="45"/>
      <c r="C98" s="45"/>
      <c r="D98" s="45"/>
      <c r="E98" s="45"/>
      <c r="F98" s="45"/>
      <c r="G98" s="45"/>
      <c r="H98" s="45"/>
      <c r="I98" s="45"/>
      <c r="J98" s="45"/>
      <c r="K98" s="45"/>
      <c r="L98" s="45"/>
      <c r="M98" s="45"/>
      <c r="N98" s="45"/>
      <c r="O98" s="45"/>
      <c r="P98" s="45"/>
      <c r="Q98" s="9"/>
      <c r="R98" s="45"/>
      <c r="S98" s="45"/>
      <c r="T98" s="45"/>
      <c r="U98" s="45"/>
      <c r="V98" s="45"/>
      <c r="W98" s="45"/>
      <c r="X98" s="45"/>
      <c r="Y98" s="45"/>
      <c r="Z98" s="45"/>
      <c r="AA98" s="45"/>
      <c r="AB98" s="45"/>
      <c r="AC98" s="45"/>
      <c r="AD98" s="45"/>
      <c r="AE98" s="45"/>
      <c r="AF98" s="45"/>
      <c r="AG98" s="51"/>
    </row>
    <row r="99" spans="1:33" x14ac:dyDescent="0.2">
      <c r="A99" s="58">
        <v>96</v>
      </c>
      <c r="B99" s="45"/>
      <c r="C99" s="45"/>
      <c r="D99" s="45"/>
      <c r="E99" s="45"/>
      <c r="F99" s="45"/>
      <c r="G99" s="45"/>
      <c r="H99" s="45"/>
      <c r="I99" s="45"/>
      <c r="J99" s="45"/>
      <c r="K99" s="45"/>
      <c r="L99" s="45"/>
      <c r="M99" s="45"/>
      <c r="N99" s="45"/>
      <c r="O99" s="45"/>
      <c r="P99" s="45"/>
      <c r="Q99" s="9"/>
      <c r="R99" s="45"/>
      <c r="S99" s="45"/>
      <c r="T99" s="45"/>
      <c r="U99" s="45"/>
      <c r="V99" s="45"/>
      <c r="W99" s="45"/>
      <c r="X99" s="45"/>
      <c r="Y99" s="45"/>
      <c r="Z99" s="45"/>
      <c r="AA99" s="45"/>
      <c r="AB99" s="45"/>
      <c r="AC99" s="45"/>
      <c r="AD99" s="45"/>
      <c r="AE99" s="45"/>
      <c r="AF99" s="45"/>
      <c r="AG99" s="51"/>
    </row>
    <row r="100" spans="1:33" x14ac:dyDescent="0.2">
      <c r="A100" s="58">
        <v>97</v>
      </c>
      <c r="B100" s="45"/>
      <c r="C100" s="45"/>
      <c r="D100" s="45"/>
      <c r="E100" s="45"/>
      <c r="F100" s="45"/>
      <c r="G100" s="45"/>
      <c r="H100" s="45"/>
      <c r="I100" s="45"/>
      <c r="J100" s="45"/>
      <c r="K100" s="45"/>
      <c r="L100" s="45"/>
      <c r="M100" s="45"/>
      <c r="N100" s="45"/>
      <c r="O100" s="45"/>
      <c r="P100" s="45"/>
      <c r="Q100" s="9"/>
      <c r="R100" s="45"/>
      <c r="S100" s="45"/>
      <c r="T100" s="45"/>
      <c r="U100" s="45"/>
      <c r="V100" s="45"/>
      <c r="W100" s="45"/>
      <c r="X100" s="45"/>
      <c r="Y100" s="45"/>
      <c r="Z100" s="45"/>
      <c r="AA100" s="45"/>
      <c r="AB100" s="45"/>
      <c r="AC100" s="45"/>
      <c r="AD100" s="45"/>
      <c r="AE100" s="45"/>
      <c r="AF100" s="45"/>
      <c r="AG100" s="51"/>
    </row>
    <row r="101" spans="1:33" x14ac:dyDescent="0.2">
      <c r="A101" s="58">
        <v>98</v>
      </c>
      <c r="B101" s="45"/>
      <c r="C101" s="45"/>
      <c r="D101" s="45"/>
      <c r="E101" s="45"/>
      <c r="F101" s="45"/>
      <c r="G101" s="45"/>
      <c r="H101" s="45"/>
      <c r="I101" s="45"/>
      <c r="J101" s="45"/>
      <c r="K101" s="45"/>
      <c r="L101" s="45"/>
      <c r="M101" s="45"/>
      <c r="N101" s="45"/>
      <c r="O101" s="45"/>
      <c r="P101" s="45"/>
      <c r="Q101" s="9"/>
      <c r="R101" s="45"/>
      <c r="S101" s="45"/>
      <c r="T101" s="45"/>
      <c r="U101" s="45"/>
      <c r="V101" s="45"/>
      <c r="W101" s="45"/>
      <c r="X101" s="45"/>
      <c r="Y101" s="45"/>
      <c r="Z101" s="45"/>
      <c r="AA101" s="45"/>
      <c r="AB101" s="45"/>
      <c r="AC101" s="45"/>
      <c r="AD101" s="45"/>
      <c r="AE101" s="45"/>
      <c r="AF101" s="45"/>
      <c r="AG101" s="51"/>
    </row>
    <row r="102" spans="1:33" x14ac:dyDescent="0.2">
      <c r="A102" s="58">
        <v>99</v>
      </c>
      <c r="B102" s="45"/>
      <c r="C102" s="45"/>
      <c r="D102" s="45"/>
      <c r="E102" s="45"/>
      <c r="F102" s="45"/>
      <c r="G102" s="45"/>
      <c r="H102" s="45"/>
      <c r="I102" s="45"/>
      <c r="J102" s="45"/>
      <c r="K102" s="45"/>
      <c r="L102" s="45"/>
      <c r="M102" s="45"/>
      <c r="N102" s="45"/>
      <c r="O102" s="45"/>
      <c r="P102" s="45"/>
      <c r="Q102" s="9"/>
      <c r="R102" s="45"/>
      <c r="S102" s="45"/>
      <c r="T102" s="45"/>
      <c r="U102" s="45"/>
      <c r="V102" s="45"/>
      <c r="W102" s="45"/>
      <c r="X102" s="45"/>
      <c r="Y102" s="45"/>
      <c r="Z102" s="45"/>
      <c r="AA102" s="45"/>
      <c r="AB102" s="45"/>
      <c r="AC102" s="45"/>
      <c r="AD102" s="45"/>
      <c r="AE102" s="45"/>
      <c r="AF102" s="45"/>
      <c r="AG102" s="51"/>
    </row>
    <row r="103" spans="1:33" ht="17" thickBot="1" x14ac:dyDescent="0.25">
      <c r="A103" s="59">
        <v>100</v>
      </c>
      <c r="B103" s="53"/>
      <c r="C103" s="53"/>
      <c r="D103" s="53"/>
      <c r="E103" s="53"/>
      <c r="F103" s="53"/>
      <c r="G103" s="53"/>
      <c r="H103" s="53"/>
      <c r="I103" s="53"/>
      <c r="J103" s="53"/>
      <c r="K103" s="53"/>
      <c r="L103" s="53"/>
      <c r="M103" s="53"/>
      <c r="N103" s="53"/>
      <c r="O103" s="53"/>
      <c r="P103" s="53"/>
      <c r="Q103" s="60"/>
      <c r="R103" s="53"/>
      <c r="S103" s="53"/>
      <c r="T103" s="53"/>
      <c r="U103" s="53"/>
      <c r="V103" s="53"/>
      <c r="W103" s="53"/>
      <c r="X103" s="53"/>
      <c r="Y103" s="53"/>
      <c r="Z103" s="53"/>
      <c r="AA103" s="53"/>
      <c r="AB103" s="53"/>
      <c r="AC103" s="53"/>
      <c r="AD103" s="53"/>
      <c r="AE103" s="53"/>
      <c r="AF103" s="53"/>
      <c r="AG103" s="54"/>
    </row>
  </sheetData>
  <mergeCells count="3">
    <mergeCell ref="B3:Q3"/>
    <mergeCell ref="R3:AG3"/>
    <mergeCell ref="A2:O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35D5D-7F2B-ED41-B9E6-6631D7F15775}">
  <dimension ref="A1:AH103"/>
  <sheetViews>
    <sheetView workbookViewId="0">
      <selection activeCell="R4" sqref="R4:AG4"/>
    </sheetView>
  </sheetViews>
  <sheetFormatPr baseColWidth="10" defaultRowHeight="16" x14ac:dyDescent="0.2"/>
  <cols>
    <col min="2" max="33" width="2.83203125" customWidth="1"/>
  </cols>
  <sheetData>
    <row r="1" spans="1:34" ht="27" x14ac:dyDescent="0.35">
      <c r="A1" s="5" t="s">
        <v>24</v>
      </c>
    </row>
    <row r="2" spans="1:34" ht="76" customHeight="1" x14ac:dyDescent="0.2">
      <c r="A2" s="69" t="s">
        <v>98</v>
      </c>
      <c r="B2" s="68"/>
      <c r="C2" s="68"/>
      <c r="D2" s="68"/>
      <c r="E2" s="68"/>
      <c r="F2" s="68"/>
      <c r="G2" s="68"/>
      <c r="H2" s="68"/>
      <c r="I2" s="68"/>
      <c r="J2" s="68"/>
      <c r="K2" s="68"/>
      <c r="L2" s="68"/>
      <c r="M2" s="68"/>
      <c r="N2" s="68"/>
      <c r="O2" s="68"/>
      <c r="P2" s="68"/>
      <c r="Q2" s="68"/>
      <c r="R2" s="68"/>
      <c r="S2" s="68"/>
      <c r="T2" s="68"/>
      <c r="U2" s="68"/>
      <c r="V2" s="68"/>
      <c r="W2" s="68"/>
      <c r="X2" s="68"/>
      <c r="Y2" s="68"/>
      <c r="Z2" s="68"/>
      <c r="AA2" s="68"/>
      <c r="AB2" s="68"/>
      <c r="AC2" s="68"/>
      <c r="AD2" s="68"/>
      <c r="AE2" s="68"/>
      <c r="AF2" s="68"/>
      <c r="AG2" s="68"/>
    </row>
    <row r="3" spans="1:34" ht="23" thickBot="1" x14ac:dyDescent="0.35">
      <c r="A3" s="61" t="s">
        <v>94</v>
      </c>
      <c r="B3" s="62" t="s">
        <v>95</v>
      </c>
      <c r="C3" s="63"/>
      <c r="D3" s="63"/>
      <c r="E3" s="63"/>
      <c r="F3" s="63"/>
      <c r="G3" s="63"/>
      <c r="H3" s="63"/>
      <c r="I3" s="63"/>
      <c r="J3" s="63"/>
      <c r="K3" s="63"/>
      <c r="L3" s="63"/>
      <c r="M3" s="63"/>
      <c r="N3" s="63"/>
      <c r="O3" s="63"/>
      <c r="P3" s="63"/>
      <c r="Q3" s="63"/>
      <c r="R3" s="62" t="s">
        <v>96</v>
      </c>
      <c r="S3" s="63"/>
      <c r="T3" s="63"/>
      <c r="U3" s="63"/>
      <c r="V3" s="63"/>
      <c r="W3" s="63"/>
      <c r="X3" s="63"/>
      <c r="Y3" s="63"/>
      <c r="Z3" s="63"/>
      <c r="AA3" s="63"/>
      <c r="AB3" s="63"/>
      <c r="AC3" s="63"/>
      <c r="AD3" s="63"/>
      <c r="AE3" s="63"/>
      <c r="AF3" s="63"/>
      <c r="AG3" s="67"/>
      <c r="AH3" t="s">
        <v>28</v>
      </c>
    </row>
    <row r="4" spans="1:34" x14ac:dyDescent="0.2">
      <c r="A4" s="64">
        <v>1</v>
      </c>
      <c r="B4" s="47">
        <f>_xlfn.XLOOKUP(SSQ_Raw!B4,'SSQ Metadata'!$A$5:$A$8,'SSQ Metadata'!$B$5:$B$8)</f>
        <v>0</v>
      </c>
      <c r="C4" s="48">
        <f>_xlfn.XLOOKUP(SSQ_Raw!C4,'SSQ Metadata'!$A$5:$A$8,'SSQ Metadata'!$B$5:$B$8)</f>
        <v>0</v>
      </c>
      <c r="D4" s="48">
        <f>_xlfn.XLOOKUP(SSQ_Raw!D4,'SSQ Metadata'!$A$5:$A$8,'SSQ Metadata'!$B$5:$B$8)</f>
        <v>0</v>
      </c>
      <c r="E4" s="48">
        <f>_xlfn.XLOOKUP(SSQ_Raw!E4,'SSQ Metadata'!$A$5:$A$8,'SSQ Metadata'!$B$5:$B$8)</f>
        <v>0</v>
      </c>
      <c r="F4" s="48">
        <f>_xlfn.XLOOKUP(SSQ_Raw!F4,'SSQ Metadata'!$A$5:$A$8,'SSQ Metadata'!$B$5:$B$8)</f>
        <v>0</v>
      </c>
      <c r="G4" s="48">
        <f>_xlfn.XLOOKUP(SSQ_Raw!G4,'SSQ Metadata'!$A$5:$A$8,'SSQ Metadata'!$B$5:$B$8)</f>
        <v>0</v>
      </c>
      <c r="H4" s="48">
        <f>_xlfn.XLOOKUP(SSQ_Raw!H4,'SSQ Metadata'!$A$5:$A$8,'SSQ Metadata'!$B$5:$B$8)</f>
        <v>0</v>
      </c>
      <c r="I4" s="48">
        <f>_xlfn.XLOOKUP(SSQ_Raw!I4,'SSQ Metadata'!$A$5:$A$8,'SSQ Metadata'!$B$5:$B$8)</f>
        <v>0</v>
      </c>
      <c r="J4" s="48">
        <f>_xlfn.XLOOKUP(SSQ_Raw!J4,'SSQ Metadata'!$A$5:$A$8,'SSQ Metadata'!$B$5:$B$8)</f>
        <v>0</v>
      </c>
      <c r="K4" s="48">
        <f>_xlfn.XLOOKUP(SSQ_Raw!K4,'SSQ Metadata'!$A$5:$A$8,'SSQ Metadata'!$B$5:$B$8)</f>
        <v>0</v>
      </c>
      <c r="L4" s="48">
        <f>_xlfn.XLOOKUP(SSQ_Raw!L4,'SSQ Metadata'!$A$5:$A$8,'SSQ Metadata'!$B$5:$B$8)</f>
        <v>0</v>
      </c>
      <c r="M4" s="48">
        <f>_xlfn.XLOOKUP(SSQ_Raw!M4,'SSQ Metadata'!$A$5:$A$8,'SSQ Metadata'!$B$5:$B$8)</f>
        <v>0</v>
      </c>
      <c r="N4" s="48">
        <f>_xlfn.XLOOKUP(SSQ_Raw!N4,'SSQ Metadata'!$A$5:$A$8,'SSQ Metadata'!$B$5:$B$8)</f>
        <v>0</v>
      </c>
      <c r="O4" s="48">
        <f>_xlfn.XLOOKUP(SSQ_Raw!O4,'SSQ Metadata'!$A$5:$A$8,'SSQ Metadata'!$B$5:$B$8)</f>
        <v>0</v>
      </c>
      <c r="P4" s="48">
        <f>_xlfn.XLOOKUP(SSQ_Raw!P4,'SSQ Metadata'!$A$5:$A$8,'SSQ Metadata'!$B$5:$B$8)</f>
        <v>0</v>
      </c>
      <c r="Q4" s="48">
        <f>_xlfn.XLOOKUP(SSQ_Raw!Q4,'SSQ Metadata'!$A$5:$A$8,'SSQ Metadata'!$B$5:$B$8)</f>
        <v>0</v>
      </c>
      <c r="R4" s="48">
        <f>_xlfn.XLOOKUP(SSQ_Raw!R4,'SSQ Metadata'!$A$5:$A$8,'SSQ Metadata'!$B$5:$B$8)</f>
        <v>1</v>
      </c>
      <c r="S4" s="48">
        <f>_xlfn.XLOOKUP(SSQ_Raw!S4,'SSQ Metadata'!$A$5:$A$8,'SSQ Metadata'!$B$5:$B$8)</f>
        <v>0</v>
      </c>
      <c r="T4" s="48">
        <f>_xlfn.XLOOKUP(SSQ_Raw!T4,'SSQ Metadata'!$A$5:$A$8,'SSQ Metadata'!$B$5:$B$8)</f>
        <v>0</v>
      </c>
      <c r="U4" s="48">
        <f>_xlfn.XLOOKUP(SSQ_Raw!U4,'SSQ Metadata'!$A$5:$A$8,'SSQ Metadata'!$B$5:$B$8)</f>
        <v>1</v>
      </c>
      <c r="V4" s="48">
        <f>_xlfn.XLOOKUP(SSQ_Raw!V4,'SSQ Metadata'!$A$5:$A$8,'SSQ Metadata'!$B$5:$B$8)</f>
        <v>0</v>
      </c>
      <c r="W4" s="48">
        <f>_xlfn.XLOOKUP(SSQ_Raw!W4,'SSQ Metadata'!$A$5:$A$8,'SSQ Metadata'!$B$5:$B$8)</f>
        <v>0</v>
      </c>
      <c r="X4" s="48">
        <f>_xlfn.XLOOKUP(SSQ_Raw!X4,'SSQ Metadata'!$A$5:$A$8,'SSQ Metadata'!$B$5:$B$8)</f>
        <v>0</v>
      </c>
      <c r="Y4" s="48">
        <f>_xlfn.XLOOKUP(SSQ_Raw!Y4,'SSQ Metadata'!$A$5:$A$8,'SSQ Metadata'!$B$5:$B$8)</f>
        <v>0</v>
      </c>
      <c r="Z4" s="48">
        <f>_xlfn.XLOOKUP(SSQ_Raw!Z4,'SSQ Metadata'!$A$5:$A$8,'SSQ Metadata'!$B$5:$B$8)</f>
        <v>0</v>
      </c>
      <c r="AA4" s="48">
        <f>_xlfn.XLOOKUP(SSQ_Raw!AA4,'SSQ Metadata'!$A$5:$A$8,'SSQ Metadata'!$B$5:$B$8)</f>
        <v>0</v>
      </c>
      <c r="AB4" s="48">
        <f>_xlfn.XLOOKUP(SSQ_Raw!AB4,'SSQ Metadata'!$A$5:$A$8,'SSQ Metadata'!$B$5:$B$8)</f>
        <v>0</v>
      </c>
      <c r="AC4" s="48">
        <f>_xlfn.XLOOKUP(SSQ_Raw!AC4,'SSQ Metadata'!$A$5:$A$8,'SSQ Metadata'!$B$5:$B$8)</f>
        <v>0</v>
      </c>
      <c r="AD4" s="48">
        <f>_xlfn.XLOOKUP(SSQ_Raw!AD4,'SSQ Metadata'!$A$5:$A$8,'SSQ Metadata'!$B$5:$B$8)</f>
        <v>0</v>
      </c>
      <c r="AE4" s="48">
        <f>_xlfn.XLOOKUP(SSQ_Raw!AE4,'SSQ Metadata'!$A$5:$A$8,'SSQ Metadata'!$B$5:$B$8)</f>
        <v>0</v>
      </c>
      <c r="AF4" s="48">
        <f>_xlfn.XLOOKUP(SSQ_Raw!AF4,'SSQ Metadata'!$A$5:$A$8,'SSQ Metadata'!$B$5:$B$8)</f>
        <v>2</v>
      </c>
      <c r="AG4" s="49">
        <f>_xlfn.XLOOKUP(SSQ_Raw!AG4,'SSQ Metadata'!$A$5:$A$8,'SSQ Metadata'!$B$5:$B$8)</f>
        <v>0</v>
      </c>
      <c r="AH4" s="3" t="s">
        <v>9</v>
      </c>
    </row>
    <row r="5" spans="1:34" x14ac:dyDescent="0.2">
      <c r="A5" s="65">
        <v>2</v>
      </c>
      <c r="B5" s="50">
        <f>_xlfn.XLOOKUP(SSQ_Raw!B5,'SSQ Metadata'!$A$5:$A$8,'SSQ Metadata'!$B$5:$B$8)</f>
        <v>0</v>
      </c>
      <c r="C5" s="45">
        <f>_xlfn.XLOOKUP(SSQ_Raw!C5,'SSQ Metadata'!$A$5:$A$8,'SSQ Metadata'!$B$5:$B$8)</f>
        <v>1</v>
      </c>
      <c r="D5" s="45">
        <f>_xlfn.XLOOKUP(SSQ_Raw!D5,'SSQ Metadata'!$A$5:$A$8,'SSQ Metadata'!$B$5:$B$8)</f>
        <v>0</v>
      </c>
      <c r="E5" s="45">
        <f>_xlfn.XLOOKUP(SSQ_Raw!E5,'SSQ Metadata'!$A$5:$A$8,'SSQ Metadata'!$B$5:$B$8)</f>
        <v>0</v>
      </c>
      <c r="F5" s="45">
        <f>_xlfn.XLOOKUP(SSQ_Raw!F5,'SSQ Metadata'!$A$5:$A$8,'SSQ Metadata'!$B$5:$B$8)</f>
        <v>0</v>
      </c>
      <c r="G5" s="45">
        <f>_xlfn.XLOOKUP(SSQ_Raw!G5,'SSQ Metadata'!$A$5:$A$8,'SSQ Metadata'!$B$5:$B$8)</f>
        <v>0</v>
      </c>
      <c r="H5" s="45">
        <f>_xlfn.XLOOKUP(SSQ_Raw!H5,'SSQ Metadata'!$A$5:$A$8,'SSQ Metadata'!$B$5:$B$8)</f>
        <v>0</v>
      </c>
      <c r="I5" s="45">
        <f>_xlfn.XLOOKUP(SSQ_Raw!I5,'SSQ Metadata'!$A$5:$A$8,'SSQ Metadata'!$B$5:$B$8)</f>
        <v>0</v>
      </c>
      <c r="J5" s="45">
        <f>_xlfn.XLOOKUP(SSQ_Raw!J5,'SSQ Metadata'!$A$5:$A$8,'SSQ Metadata'!$B$5:$B$8)</f>
        <v>0</v>
      </c>
      <c r="K5" s="45">
        <f>_xlfn.XLOOKUP(SSQ_Raw!K5,'SSQ Metadata'!$A$5:$A$8,'SSQ Metadata'!$B$5:$B$8)</f>
        <v>0</v>
      </c>
      <c r="L5" s="45">
        <f>_xlfn.XLOOKUP(SSQ_Raw!L5,'SSQ Metadata'!$A$5:$A$8,'SSQ Metadata'!$B$5:$B$8)</f>
        <v>0</v>
      </c>
      <c r="M5" s="45">
        <f>_xlfn.XLOOKUP(SSQ_Raw!M5,'SSQ Metadata'!$A$5:$A$8,'SSQ Metadata'!$B$5:$B$8)</f>
        <v>0</v>
      </c>
      <c r="N5" s="45">
        <f>_xlfn.XLOOKUP(SSQ_Raw!N5,'SSQ Metadata'!$A$5:$A$8,'SSQ Metadata'!$B$5:$B$8)</f>
        <v>0</v>
      </c>
      <c r="O5" s="45">
        <f>_xlfn.XLOOKUP(SSQ_Raw!O5,'SSQ Metadata'!$A$5:$A$8,'SSQ Metadata'!$B$5:$B$8)</f>
        <v>0</v>
      </c>
      <c r="P5" s="45">
        <f>_xlfn.XLOOKUP(SSQ_Raw!P5,'SSQ Metadata'!$A$5:$A$8,'SSQ Metadata'!$B$5:$B$8)</f>
        <v>0</v>
      </c>
      <c r="Q5" s="45">
        <f>_xlfn.XLOOKUP(SSQ_Raw!Q5,'SSQ Metadata'!$A$5:$A$8,'SSQ Metadata'!$B$5:$B$8)</f>
        <v>0</v>
      </c>
      <c r="R5" s="45">
        <f>_xlfn.XLOOKUP(SSQ_Raw!R5,'SSQ Metadata'!$A$5:$A$8,'SSQ Metadata'!$B$5:$B$8)</f>
        <v>1</v>
      </c>
      <c r="S5" s="45">
        <f>_xlfn.XLOOKUP(SSQ_Raw!S5,'SSQ Metadata'!$A$5:$A$8,'SSQ Metadata'!$B$5:$B$8)</f>
        <v>2</v>
      </c>
      <c r="T5" s="45">
        <f>_xlfn.XLOOKUP(SSQ_Raw!T5,'SSQ Metadata'!$A$5:$A$8,'SSQ Metadata'!$B$5:$B$8)</f>
        <v>2</v>
      </c>
      <c r="U5" s="45">
        <f>_xlfn.XLOOKUP(SSQ_Raw!U5,'SSQ Metadata'!$A$5:$A$8,'SSQ Metadata'!$B$5:$B$8)</f>
        <v>3</v>
      </c>
      <c r="V5" s="45">
        <f>_xlfn.XLOOKUP(SSQ_Raw!V5,'SSQ Metadata'!$A$5:$A$8,'SSQ Metadata'!$B$5:$B$8)</f>
        <v>3</v>
      </c>
      <c r="W5" s="45">
        <f>_xlfn.XLOOKUP(SSQ_Raw!W5,'SSQ Metadata'!$A$5:$A$8,'SSQ Metadata'!$B$5:$B$8)</f>
        <v>0</v>
      </c>
      <c r="X5" s="45">
        <f>_xlfn.XLOOKUP(SSQ_Raw!X5,'SSQ Metadata'!$A$5:$A$8,'SSQ Metadata'!$B$5:$B$8)</f>
        <v>0</v>
      </c>
      <c r="Y5" s="45">
        <f>_xlfn.XLOOKUP(SSQ_Raw!Y5,'SSQ Metadata'!$A$5:$A$8,'SSQ Metadata'!$B$5:$B$8)</f>
        <v>2</v>
      </c>
      <c r="Z5" s="45">
        <f>_xlfn.XLOOKUP(SSQ_Raw!Z5,'SSQ Metadata'!$A$5:$A$8,'SSQ Metadata'!$B$5:$B$8)</f>
        <v>2</v>
      </c>
      <c r="AA5" s="45">
        <f>_xlfn.XLOOKUP(SSQ_Raw!AA5,'SSQ Metadata'!$A$5:$A$8,'SSQ Metadata'!$B$5:$B$8)</f>
        <v>0</v>
      </c>
      <c r="AB5" s="45">
        <f>_xlfn.XLOOKUP(SSQ_Raw!AB5,'SSQ Metadata'!$A$5:$A$8,'SSQ Metadata'!$B$5:$B$8)</f>
        <v>3</v>
      </c>
      <c r="AC5" s="45">
        <f>_xlfn.XLOOKUP(SSQ_Raw!AC5,'SSQ Metadata'!$A$5:$A$8,'SSQ Metadata'!$B$5:$B$8)</f>
        <v>1</v>
      </c>
      <c r="AD5" s="45">
        <f>_xlfn.XLOOKUP(SSQ_Raw!AD5,'SSQ Metadata'!$A$5:$A$8,'SSQ Metadata'!$B$5:$B$8)</f>
        <v>2</v>
      </c>
      <c r="AE5" s="45">
        <f>_xlfn.XLOOKUP(SSQ_Raw!AE5,'SSQ Metadata'!$A$5:$A$8,'SSQ Metadata'!$B$5:$B$8)</f>
        <v>0</v>
      </c>
      <c r="AF5" s="45">
        <f>_xlfn.XLOOKUP(SSQ_Raw!AF5,'SSQ Metadata'!$A$5:$A$8,'SSQ Metadata'!$B$5:$B$8)</f>
        <v>0</v>
      </c>
      <c r="AG5" s="51">
        <f>_xlfn.XLOOKUP(SSQ_Raw!AG5,'SSQ Metadata'!$A$5:$A$8,'SSQ Metadata'!$B$5:$B$8)</f>
        <v>0</v>
      </c>
      <c r="AH5" s="3" t="s">
        <v>8</v>
      </c>
    </row>
    <row r="6" spans="1:34" x14ac:dyDescent="0.2">
      <c r="A6" s="65">
        <v>3</v>
      </c>
      <c r="B6" s="50">
        <f>_xlfn.XLOOKUP(SSQ_Raw!B6,'SSQ Metadata'!$A$5:$A$8,'SSQ Metadata'!$B$5:$B$8)</f>
        <v>0</v>
      </c>
      <c r="C6" s="45">
        <f>_xlfn.XLOOKUP(SSQ_Raw!C6,'SSQ Metadata'!$A$5:$A$8,'SSQ Metadata'!$B$5:$B$8)</f>
        <v>1</v>
      </c>
      <c r="D6" s="45">
        <f>_xlfn.XLOOKUP(SSQ_Raw!D6,'SSQ Metadata'!$A$5:$A$8,'SSQ Metadata'!$B$5:$B$8)</f>
        <v>0</v>
      </c>
      <c r="E6" s="45">
        <f>_xlfn.XLOOKUP(SSQ_Raw!E6,'SSQ Metadata'!$A$5:$A$8,'SSQ Metadata'!$B$5:$B$8)</f>
        <v>0</v>
      </c>
      <c r="F6" s="45">
        <f>_xlfn.XLOOKUP(SSQ_Raw!F6,'SSQ Metadata'!$A$5:$A$8,'SSQ Metadata'!$B$5:$B$8)</f>
        <v>0</v>
      </c>
      <c r="G6" s="45">
        <f>_xlfn.XLOOKUP(SSQ_Raw!G6,'SSQ Metadata'!$A$5:$A$8,'SSQ Metadata'!$B$5:$B$8)</f>
        <v>0</v>
      </c>
      <c r="H6" s="45">
        <f>_xlfn.XLOOKUP(SSQ_Raw!H6,'SSQ Metadata'!$A$5:$A$8,'SSQ Metadata'!$B$5:$B$8)</f>
        <v>0</v>
      </c>
      <c r="I6" s="45">
        <f>_xlfn.XLOOKUP(SSQ_Raw!I6,'SSQ Metadata'!$A$5:$A$8,'SSQ Metadata'!$B$5:$B$8)</f>
        <v>0</v>
      </c>
      <c r="J6" s="45">
        <f>_xlfn.XLOOKUP(SSQ_Raw!J6,'SSQ Metadata'!$A$5:$A$8,'SSQ Metadata'!$B$5:$B$8)</f>
        <v>0</v>
      </c>
      <c r="K6" s="45">
        <f>_xlfn.XLOOKUP(SSQ_Raw!K6,'SSQ Metadata'!$A$5:$A$8,'SSQ Metadata'!$B$5:$B$8)</f>
        <v>0</v>
      </c>
      <c r="L6" s="45">
        <f>_xlfn.XLOOKUP(SSQ_Raw!L6,'SSQ Metadata'!$A$5:$A$8,'SSQ Metadata'!$B$5:$B$8)</f>
        <v>0</v>
      </c>
      <c r="M6" s="45">
        <f>_xlfn.XLOOKUP(SSQ_Raw!M6,'SSQ Metadata'!$A$5:$A$8,'SSQ Metadata'!$B$5:$B$8)</f>
        <v>0</v>
      </c>
      <c r="N6" s="45">
        <f>_xlfn.XLOOKUP(SSQ_Raw!N6,'SSQ Metadata'!$A$5:$A$8,'SSQ Metadata'!$B$5:$B$8)</f>
        <v>0</v>
      </c>
      <c r="O6" s="45">
        <f>_xlfn.XLOOKUP(SSQ_Raw!O6,'SSQ Metadata'!$A$5:$A$8,'SSQ Metadata'!$B$5:$B$8)</f>
        <v>0</v>
      </c>
      <c r="P6" s="45">
        <f>_xlfn.XLOOKUP(SSQ_Raw!P6,'SSQ Metadata'!$A$5:$A$8,'SSQ Metadata'!$B$5:$B$8)</f>
        <v>0</v>
      </c>
      <c r="Q6" s="45">
        <f>_xlfn.XLOOKUP(SSQ_Raw!Q6,'SSQ Metadata'!$A$5:$A$8,'SSQ Metadata'!$B$5:$B$8)</f>
        <v>0</v>
      </c>
      <c r="R6" s="45">
        <f>_xlfn.XLOOKUP(SSQ_Raw!R6,'SSQ Metadata'!$A$5:$A$8,'SSQ Metadata'!$B$5:$B$8)</f>
        <v>1</v>
      </c>
      <c r="S6" s="45">
        <f>_xlfn.XLOOKUP(SSQ_Raw!S6,'SSQ Metadata'!$A$5:$A$8,'SSQ Metadata'!$B$5:$B$8)</f>
        <v>1</v>
      </c>
      <c r="T6" s="45">
        <f>_xlfn.XLOOKUP(SSQ_Raw!T6,'SSQ Metadata'!$A$5:$A$8,'SSQ Metadata'!$B$5:$B$8)</f>
        <v>0</v>
      </c>
      <c r="U6" s="45">
        <f>_xlfn.XLOOKUP(SSQ_Raw!U6,'SSQ Metadata'!$A$5:$A$8,'SSQ Metadata'!$B$5:$B$8)</f>
        <v>1</v>
      </c>
      <c r="V6" s="45">
        <f>_xlfn.XLOOKUP(SSQ_Raw!V6,'SSQ Metadata'!$A$5:$A$8,'SSQ Metadata'!$B$5:$B$8)</f>
        <v>0</v>
      </c>
      <c r="W6" s="45">
        <f>_xlfn.XLOOKUP(SSQ_Raw!W6,'SSQ Metadata'!$A$5:$A$8,'SSQ Metadata'!$B$5:$B$8)</f>
        <v>0</v>
      </c>
      <c r="X6" s="45">
        <f>_xlfn.XLOOKUP(SSQ_Raw!X6,'SSQ Metadata'!$A$5:$A$8,'SSQ Metadata'!$B$5:$B$8)</f>
        <v>0</v>
      </c>
      <c r="Y6" s="45">
        <f>_xlfn.XLOOKUP(SSQ_Raw!Y6,'SSQ Metadata'!$A$5:$A$8,'SSQ Metadata'!$B$5:$B$8)</f>
        <v>0</v>
      </c>
      <c r="Z6" s="45">
        <f>_xlfn.XLOOKUP(SSQ_Raw!Z6,'SSQ Metadata'!$A$5:$A$8,'SSQ Metadata'!$B$5:$B$8)</f>
        <v>0</v>
      </c>
      <c r="AA6" s="45">
        <f>_xlfn.XLOOKUP(SSQ_Raw!AA6,'SSQ Metadata'!$A$5:$A$8,'SSQ Metadata'!$B$5:$B$8)</f>
        <v>1</v>
      </c>
      <c r="AB6" s="45">
        <f>_xlfn.XLOOKUP(SSQ_Raw!AB6,'SSQ Metadata'!$A$5:$A$8,'SSQ Metadata'!$B$5:$B$8)</f>
        <v>0</v>
      </c>
      <c r="AC6" s="45">
        <f>_xlfn.XLOOKUP(SSQ_Raw!AC6,'SSQ Metadata'!$A$5:$A$8,'SSQ Metadata'!$B$5:$B$8)</f>
        <v>0</v>
      </c>
      <c r="AD6" s="45">
        <f>_xlfn.XLOOKUP(SSQ_Raw!AD6,'SSQ Metadata'!$A$5:$A$8,'SSQ Metadata'!$B$5:$B$8)</f>
        <v>0</v>
      </c>
      <c r="AE6" s="45">
        <f>_xlfn.XLOOKUP(SSQ_Raw!AE6,'SSQ Metadata'!$A$5:$A$8,'SSQ Metadata'!$B$5:$B$8)</f>
        <v>0</v>
      </c>
      <c r="AF6" s="45">
        <f>_xlfn.XLOOKUP(SSQ_Raw!AF6,'SSQ Metadata'!$A$5:$A$8,'SSQ Metadata'!$B$5:$B$8)</f>
        <v>0</v>
      </c>
      <c r="AG6" s="51">
        <f>_xlfn.XLOOKUP(SSQ_Raw!AG6,'SSQ Metadata'!$A$5:$A$8,'SSQ Metadata'!$B$5:$B$8)</f>
        <v>0</v>
      </c>
      <c r="AH6" s="3" t="s">
        <v>11</v>
      </c>
    </row>
    <row r="7" spans="1:34" x14ac:dyDescent="0.2">
      <c r="A7" s="65">
        <v>4</v>
      </c>
      <c r="B7" s="50">
        <f>_xlfn.XLOOKUP(SSQ_Raw!B7,'SSQ Metadata'!$A$5:$A$8,'SSQ Metadata'!$B$5:$B$8)</f>
        <v>0</v>
      </c>
      <c r="C7" s="45">
        <f>_xlfn.XLOOKUP(SSQ_Raw!C7,'SSQ Metadata'!$A$5:$A$8,'SSQ Metadata'!$B$5:$B$8)</f>
        <v>0</v>
      </c>
      <c r="D7" s="45">
        <f>_xlfn.XLOOKUP(SSQ_Raw!D7,'SSQ Metadata'!$A$5:$A$8,'SSQ Metadata'!$B$5:$B$8)</f>
        <v>0</v>
      </c>
      <c r="E7" s="45">
        <f>_xlfn.XLOOKUP(SSQ_Raw!E7,'SSQ Metadata'!$A$5:$A$8,'SSQ Metadata'!$B$5:$B$8)</f>
        <v>0</v>
      </c>
      <c r="F7" s="45">
        <f>_xlfn.XLOOKUP(SSQ_Raw!F7,'SSQ Metadata'!$A$5:$A$8,'SSQ Metadata'!$B$5:$B$8)</f>
        <v>0</v>
      </c>
      <c r="G7" s="45">
        <f>_xlfn.XLOOKUP(SSQ_Raw!G7,'SSQ Metadata'!$A$5:$A$8,'SSQ Metadata'!$B$5:$B$8)</f>
        <v>0</v>
      </c>
      <c r="H7" s="45">
        <f>_xlfn.XLOOKUP(SSQ_Raw!H7,'SSQ Metadata'!$A$5:$A$8,'SSQ Metadata'!$B$5:$B$8)</f>
        <v>0</v>
      </c>
      <c r="I7" s="45">
        <f>_xlfn.XLOOKUP(SSQ_Raw!I7,'SSQ Metadata'!$A$5:$A$8,'SSQ Metadata'!$B$5:$B$8)</f>
        <v>0</v>
      </c>
      <c r="J7" s="45">
        <f>_xlfn.XLOOKUP(SSQ_Raw!J7,'SSQ Metadata'!$A$5:$A$8,'SSQ Metadata'!$B$5:$B$8)</f>
        <v>0</v>
      </c>
      <c r="K7" s="45">
        <f>_xlfn.XLOOKUP(SSQ_Raw!K7,'SSQ Metadata'!$A$5:$A$8,'SSQ Metadata'!$B$5:$B$8)</f>
        <v>0</v>
      </c>
      <c r="L7" s="45">
        <f>_xlfn.XLOOKUP(SSQ_Raw!L7,'SSQ Metadata'!$A$5:$A$8,'SSQ Metadata'!$B$5:$B$8)</f>
        <v>0</v>
      </c>
      <c r="M7" s="45">
        <f>_xlfn.XLOOKUP(SSQ_Raw!M7,'SSQ Metadata'!$A$5:$A$8,'SSQ Metadata'!$B$5:$B$8)</f>
        <v>0</v>
      </c>
      <c r="N7" s="45">
        <f>_xlfn.XLOOKUP(SSQ_Raw!N7,'SSQ Metadata'!$A$5:$A$8,'SSQ Metadata'!$B$5:$B$8)</f>
        <v>0</v>
      </c>
      <c r="O7" s="45">
        <f>_xlfn.XLOOKUP(SSQ_Raw!O7,'SSQ Metadata'!$A$5:$A$8,'SSQ Metadata'!$B$5:$B$8)</f>
        <v>0</v>
      </c>
      <c r="P7" s="45">
        <f>_xlfn.XLOOKUP(SSQ_Raw!P7,'SSQ Metadata'!$A$5:$A$8,'SSQ Metadata'!$B$5:$B$8)</f>
        <v>0</v>
      </c>
      <c r="Q7" s="45">
        <f>_xlfn.XLOOKUP(SSQ_Raw!Q7,'SSQ Metadata'!$A$5:$A$8,'SSQ Metadata'!$B$5:$B$8)</f>
        <v>0</v>
      </c>
      <c r="R7" s="45">
        <f>_xlfn.XLOOKUP(SSQ_Raw!R7,'SSQ Metadata'!$A$5:$A$8,'SSQ Metadata'!$B$5:$B$8)</f>
        <v>0</v>
      </c>
      <c r="S7" s="45">
        <f>_xlfn.XLOOKUP(SSQ_Raw!S7,'SSQ Metadata'!$A$5:$A$8,'SSQ Metadata'!$B$5:$B$8)</f>
        <v>2</v>
      </c>
      <c r="T7" s="45">
        <f>_xlfn.XLOOKUP(SSQ_Raw!T7,'SSQ Metadata'!$A$5:$A$8,'SSQ Metadata'!$B$5:$B$8)</f>
        <v>0</v>
      </c>
      <c r="U7" s="45">
        <f>_xlfn.XLOOKUP(SSQ_Raw!U7,'SSQ Metadata'!$A$5:$A$8,'SSQ Metadata'!$B$5:$B$8)</f>
        <v>0</v>
      </c>
      <c r="V7" s="45">
        <f>_xlfn.XLOOKUP(SSQ_Raw!V7,'SSQ Metadata'!$A$5:$A$8,'SSQ Metadata'!$B$5:$B$8)</f>
        <v>0</v>
      </c>
      <c r="W7" s="45">
        <f>_xlfn.XLOOKUP(SSQ_Raw!W7,'SSQ Metadata'!$A$5:$A$8,'SSQ Metadata'!$B$5:$B$8)</f>
        <v>0</v>
      </c>
      <c r="X7" s="45">
        <f>_xlfn.XLOOKUP(SSQ_Raw!X7,'SSQ Metadata'!$A$5:$A$8,'SSQ Metadata'!$B$5:$B$8)</f>
        <v>1</v>
      </c>
      <c r="Y7" s="45">
        <f>_xlfn.XLOOKUP(SSQ_Raw!Y7,'SSQ Metadata'!$A$5:$A$8,'SSQ Metadata'!$B$5:$B$8)</f>
        <v>2</v>
      </c>
      <c r="Z7" s="45">
        <f>_xlfn.XLOOKUP(SSQ_Raw!Z7,'SSQ Metadata'!$A$5:$A$8,'SSQ Metadata'!$B$5:$B$8)</f>
        <v>1</v>
      </c>
      <c r="AA7" s="45">
        <f>_xlfn.XLOOKUP(SSQ_Raw!AA7,'SSQ Metadata'!$A$5:$A$8,'SSQ Metadata'!$B$5:$B$8)</f>
        <v>1</v>
      </c>
      <c r="AB7" s="45">
        <f>_xlfn.XLOOKUP(SSQ_Raw!AB7,'SSQ Metadata'!$A$5:$A$8,'SSQ Metadata'!$B$5:$B$8)</f>
        <v>0</v>
      </c>
      <c r="AC7" s="45">
        <f>_xlfn.XLOOKUP(SSQ_Raw!AC7,'SSQ Metadata'!$A$5:$A$8,'SSQ Metadata'!$B$5:$B$8)</f>
        <v>0</v>
      </c>
      <c r="AD7" s="45">
        <f>_xlfn.XLOOKUP(SSQ_Raw!AD7,'SSQ Metadata'!$A$5:$A$8,'SSQ Metadata'!$B$5:$B$8)</f>
        <v>0</v>
      </c>
      <c r="AE7" s="45">
        <f>_xlfn.XLOOKUP(SSQ_Raw!AE7,'SSQ Metadata'!$A$5:$A$8,'SSQ Metadata'!$B$5:$B$8)</f>
        <v>0</v>
      </c>
      <c r="AF7" s="45">
        <f>_xlfn.XLOOKUP(SSQ_Raw!AF7,'SSQ Metadata'!$A$5:$A$8,'SSQ Metadata'!$B$5:$B$8)</f>
        <v>0</v>
      </c>
      <c r="AG7" s="51">
        <f>_xlfn.XLOOKUP(SSQ_Raw!AG7,'SSQ Metadata'!$A$5:$A$8,'SSQ Metadata'!$B$5:$B$8)</f>
        <v>0</v>
      </c>
      <c r="AH7" s="3" t="s">
        <v>16</v>
      </c>
    </row>
    <row r="8" spans="1:34" x14ac:dyDescent="0.2">
      <c r="A8" s="65">
        <v>5</v>
      </c>
      <c r="B8" s="50">
        <f>_xlfn.XLOOKUP(SSQ_Raw!B8,'SSQ Metadata'!$A$5:$A$8,'SSQ Metadata'!$B$5:$B$8)</f>
        <v>0</v>
      </c>
      <c r="C8" s="45">
        <f>_xlfn.XLOOKUP(SSQ_Raw!C8,'SSQ Metadata'!$A$5:$A$8,'SSQ Metadata'!$B$5:$B$8)</f>
        <v>2</v>
      </c>
      <c r="D8" s="45">
        <f>_xlfn.XLOOKUP(SSQ_Raw!D8,'SSQ Metadata'!$A$5:$A$8,'SSQ Metadata'!$B$5:$B$8)</f>
        <v>0</v>
      </c>
      <c r="E8" s="45">
        <f>_xlfn.XLOOKUP(SSQ_Raw!E8,'SSQ Metadata'!$A$5:$A$8,'SSQ Metadata'!$B$5:$B$8)</f>
        <v>1</v>
      </c>
      <c r="F8" s="45">
        <f>_xlfn.XLOOKUP(SSQ_Raw!F8,'SSQ Metadata'!$A$5:$A$8,'SSQ Metadata'!$B$5:$B$8)</f>
        <v>0</v>
      </c>
      <c r="G8" s="45">
        <f>_xlfn.XLOOKUP(SSQ_Raw!G8,'SSQ Metadata'!$A$5:$A$8,'SSQ Metadata'!$B$5:$B$8)</f>
        <v>0</v>
      </c>
      <c r="H8" s="45">
        <f>_xlfn.XLOOKUP(SSQ_Raw!H8,'SSQ Metadata'!$A$5:$A$8,'SSQ Metadata'!$B$5:$B$8)</f>
        <v>0</v>
      </c>
      <c r="I8" s="45">
        <f>_xlfn.XLOOKUP(SSQ_Raw!I8,'SSQ Metadata'!$A$5:$A$8,'SSQ Metadata'!$B$5:$B$8)</f>
        <v>0</v>
      </c>
      <c r="J8" s="45">
        <f>_xlfn.XLOOKUP(SSQ_Raw!J8,'SSQ Metadata'!$A$5:$A$8,'SSQ Metadata'!$B$5:$B$8)</f>
        <v>2</v>
      </c>
      <c r="K8" s="45">
        <f>_xlfn.XLOOKUP(SSQ_Raw!K8,'SSQ Metadata'!$A$5:$A$8,'SSQ Metadata'!$B$5:$B$8)</f>
        <v>0</v>
      </c>
      <c r="L8" s="45">
        <f>_xlfn.XLOOKUP(SSQ_Raw!L8,'SSQ Metadata'!$A$5:$A$8,'SSQ Metadata'!$B$5:$B$8)</f>
        <v>0</v>
      </c>
      <c r="M8" s="45">
        <f>_xlfn.XLOOKUP(SSQ_Raw!M8,'SSQ Metadata'!$A$5:$A$8,'SSQ Metadata'!$B$5:$B$8)</f>
        <v>0</v>
      </c>
      <c r="N8" s="45">
        <f>_xlfn.XLOOKUP(SSQ_Raw!N8,'SSQ Metadata'!$A$5:$A$8,'SSQ Metadata'!$B$5:$B$8)</f>
        <v>0</v>
      </c>
      <c r="O8" s="45">
        <f>_xlfn.XLOOKUP(SSQ_Raw!O8,'SSQ Metadata'!$A$5:$A$8,'SSQ Metadata'!$B$5:$B$8)</f>
        <v>0</v>
      </c>
      <c r="P8" s="45">
        <f>_xlfn.XLOOKUP(SSQ_Raw!P8,'SSQ Metadata'!$A$5:$A$8,'SSQ Metadata'!$B$5:$B$8)</f>
        <v>0</v>
      </c>
      <c r="Q8" s="45">
        <f>_xlfn.XLOOKUP(SSQ_Raw!Q8,'SSQ Metadata'!$A$5:$A$8,'SSQ Metadata'!$B$5:$B$8)</f>
        <v>0</v>
      </c>
      <c r="R8" s="45">
        <f>_xlfn.XLOOKUP(SSQ_Raw!R8,'SSQ Metadata'!$A$5:$A$8,'SSQ Metadata'!$B$5:$B$8)</f>
        <v>1</v>
      </c>
      <c r="S8" s="45">
        <f>_xlfn.XLOOKUP(SSQ_Raw!S8,'SSQ Metadata'!$A$5:$A$8,'SSQ Metadata'!$B$5:$B$8)</f>
        <v>0</v>
      </c>
      <c r="T8" s="45">
        <f>_xlfn.XLOOKUP(SSQ_Raw!T8,'SSQ Metadata'!$A$5:$A$8,'SSQ Metadata'!$B$5:$B$8)</f>
        <v>1</v>
      </c>
      <c r="U8" s="45">
        <f>_xlfn.XLOOKUP(SSQ_Raw!U8,'SSQ Metadata'!$A$5:$A$8,'SSQ Metadata'!$B$5:$B$8)</f>
        <v>1</v>
      </c>
      <c r="V8" s="45">
        <f>_xlfn.XLOOKUP(SSQ_Raw!V8,'SSQ Metadata'!$A$5:$A$8,'SSQ Metadata'!$B$5:$B$8)</f>
        <v>0</v>
      </c>
      <c r="W8" s="45">
        <f>_xlfn.XLOOKUP(SSQ_Raw!W8,'SSQ Metadata'!$A$5:$A$8,'SSQ Metadata'!$B$5:$B$8)</f>
        <v>0</v>
      </c>
      <c r="X8" s="45">
        <f>_xlfn.XLOOKUP(SSQ_Raw!X8,'SSQ Metadata'!$A$5:$A$8,'SSQ Metadata'!$B$5:$B$8)</f>
        <v>0</v>
      </c>
      <c r="Y8" s="45">
        <f>_xlfn.XLOOKUP(SSQ_Raw!Y8,'SSQ Metadata'!$A$5:$A$8,'SSQ Metadata'!$B$5:$B$8)</f>
        <v>0</v>
      </c>
      <c r="Z8" s="45">
        <f>_xlfn.XLOOKUP(SSQ_Raw!Z8,'SSQ Metadata'!$A$5:$A$8,'SSQ Metadata'!$B$5:$B$8)</f>
        <v>0</v>
      </c>
      <c r="AA8" s="45">
        <f>_xlfn.XLOOKUP(SSQ_Raw!AA8,'SSQ Metadata'!$A$5:$A$8,'SSQ Metadata'!$B$5:$B$8)</f>
        <v>2</v>
      </c>
      <c r="AB8" s="45">
        <f>_xlfn.XLOOKUP(SSQ_Raw!AB8,'SSQ Metadata'!$A$5:$A$8,'SSQ Metadata'!$B$5:$B$8)</f>
        <v>0</v>
      </c>
      <c r="AC8" s="45">
        <f>_xlfn.XLOOKUP(SSQ_Raw!AC8,'SSQ Metadata'!$A$5:$A$8,'SSQ Metadata'!$B$5:$B$8)</f>
        <v>0</v>
      </c>
      <c r="AD8" s="45">
        <f>_xlfn.XLOOKUP(SSQ_Raw!AD8,'SSQ Metadata'!$A$5:$A$8,'SSQ Metadata'!$B$5:$B$8)</f>
        <v>0</v>
      </c>
      <c r="AE8" s="45">
        <f>_xlfn.XLOOKUP(SSQ_Raw!AE8,'SSQ Metadata'!$A$5:$A$8,'SSQ Metadata'!$B$5:$B$8)</f>
        <v>0</v>
      </c>
      <c r="AF8" s="45">
        <f>_xlfn.XLOOKUP(SSQ_Raw!AF8,'SSQ Metadata'!$A$5:$A$8,'SSQ Metadata'!$B$5:$B$8)</f>
        <v>0</v>
      </c>
      <c r="AG8" s="51">
        <f>_xlfn.XLOOKUP(SSQ_Raw!AG8,'SSQ Metadata'!$A$5:$A$8,'SSQ Metadata'!$B$5:$B$8)</f>
        <v>0</v>
      </c>
      <c r="AH8" s="3" t="s">
        <v>12</v>
      </c>
    </row>
    <row r="9" spans="1:34" x14ac:dyDescent="0.2">
      <c r="A9" s="65">
        <v>6</v>
      </c>
      <c r="B9" s="50">
        <f>_xlfn.XLOOKUP(SSQ_Raw!B9,'SSQ Metadata'!$A$5:$A$8,'SSQ Metadata'!$B$5:$B$8)</f>
        <v>0</v>
      </c>
      <c r="C9" s="45">
        <f>_xlfn.XLOOKUP(SSQ_Raw!C9,'SSQ Metadata'!$A$5:$A$8,'SSQ Metadata'!$B$5:$B$8)</f>
        <v>2</v>
      </c>
      <c r="D9" s="45">
        <f>_xlfn.XLOOKUP(SSQ_Raw!D9,'SSQ Metadata'!$A$5:$A$8,'SSQ Metadata'!$B$5:$B$8)</f>
        <v>0</v>
      </c>
      <c r="E9" s="45">
        <f>_xlfn.XLOOKUP(SSQ_Raw!E9,'SSQ Metadata'!$A$5:$A$8,'SSQ Metadata'!$B$5:$B$8)</f>
        <v>1</v>
      </c>
      <c r="F9" s="45">
        <f>_xlfn.XLOOKUP(SSQ_Raw!F9,'SSQ Metadata'!$A$5:$A$8,'SSQ Metadata'!$B$5:$B$8)</f>
        <v>2</v>
      </c>
      <c r="G9" s="45">
        <f>_xlfn.XLOOKUP(SSQ_Raw!G9,'SSQ Metadata'!$A$5:$A$8,'SSQ Metadata'!$B$5:$B$8)</f>
        <v>0</v>
      </c>
      <c r="H9" s="45">
        <f>_xlfn.XLOOKUP(SSQ_Raw!H9,'SSQ Metadata'!$A$5:$A$8,'SSQ Metadata'!$B$5:$B$8)</f>
        <v>2</v>
      </c>
      <c r="I9" s="45">
        <f>_xlfn.XLOOKUP(SSQ_Raw!I9,'SSQ Metadata'!$A$5:$A$8,'SSQ Metadata'!$B$5:$B$8)</f>
        <v>0</v>
      </c>
      <c r="J9" s="45">
        <f>_xlfn.XLOOKUP(SSQ_Raw!J9,'SSQ Metadata'!$A$5:$A$8,'SSQ Metadata'!$B$5:$B$8)</f>
        <v>2</v>
      </c>
      <c r="K9" s="45">
        <f>_xlfn.XLOOKUP(SSQ_Raw!K9,'SSQ Metadata'!$A$5:$A$8,'SSQ Metadata'!$B$5:$B$8)</f>
        <v>1</v>
      </c>
      <c r="L9" s="45">
        <f>_xlfn.XLOOKUP(SSQ_Raw!L9,'SSQ Metadata'!$A$5:$A$8,'SSQ Metadata'!$B$5:$B$8)</f>
        <v>1</v>
      </c>
      <c r="M9" s="45">
        <f>_xlfn.XLOOKUP(SSQ_Raw!M9,'SSQ Metadata'!$A$5:$A$8,'SSQ Metadata'!$B$5:$B$8)</f>
        <v>0</v>
      </c>
      <c r="N9" s="45">
        <f>_xlfn.XLOOKUP(SSQ_Raw!N9,'SSQ Metadata'!$A$5:$A$8,'SSQ Metadata'!$B$5:$B$8)</f>
        <v>0</v>
      </c>
      <c r="O9" s="45">
        <f>_xlfn.XLOOKUP(SSQ_Raw!O9,'SSQ Metadata'!$A$5:$A$8,'SSQ Metadata'!$B$5:$B$8)</f>
        <v>0</v>
      </c>
      <c r="P9" s="45">
        <f>_xlfn.XLOOKUP(SSQ_Raw!P9,'SSQ Metadata'!$A$5:$A$8,'SSQ Metadata'!$B$5:$B$8)</f>
        <v>0</v>
      </c>
      <c r="Q9" s="45">
        <f>_xlfn.XLOOKUP(SSQ_Raw!Q9,'SSQ Metadata'!$A$5:$A$8,'SSQ Metadata'!$B$5:$B$8)</f>
        <v>0</v>
      </c>
      <c r="R9" s="45">
        <f>_xlfn.XLOOKUP(SSQ_Raw!R9,'SSQ Metadata'!$A$5:$A$8,'SSQ Metadata'!$B$5:$B$8)</f>
        <v>1</v>
      </c>
      <c r="S9" s="45">
        <f>_xlfn.XLOOKUP(SSQ_Raw!S9,'SSQ Metadata'!$A$5:$A$8,'SSQ Metadata'!$B$5:$B$8)</f>
        <v>1</v>
      </c>
      <c r="T9" s="45">
        <f>_xlfn.XLOOKUP(SSQ_Raw!T9,'SSQ Metadata'!$A$5:$A$8,'SSQ Metadata'!$B$5:$B$8)</f>
        <v>2</v>
      </c>
      <c r="U9" s="45">
        <f>_xlfn.XLOOKUP(SSQ_Raw!U9,'SSQ Metadata'!$A$5:$A$8,'SSQ Metadata'!$B$5:$B$8)</f>
        <v>2</v>
      </c>
      <c r="V9" s="45">
        <f>_xlfn.XLOOKUP(SSQ_Raw!V9,'SSQ Metadata'!$A$5:$A$8,'SSQ Metadata'!$B$5:$B$8)</f>
        <v>2</v>
      </c>
      <c r="W9" s="45">
        <f>_xlfn.XLOOKUP(SSQ_Raw!W9,'SSQ Metadata'!$A$5:$A$8,'SSQ Metadata'!$B$5:$B$8)</f>
        <v>0</v>
      </c>
      <c r="X9" s="45">
        <f>_xlfn.XLOOKUP(SSQ_Raw!X9,'SSQ Metadata'!$A$5:$A$8,'SSQ Metadata'!$B$5:$B$8)</f>
        <v>0</v>
      </c>
      <c r="Y9" s="45">
        <f>_xlfn.XLOOKUP(SSQ_Raw!Y9,'SSQ Metadata'!$A$5:$A$8,'SSQ Metadata'!$B$5:$B$8)</f>
        <v>0</v>
      </c>
      <c r="Z9" s="45">
        <f>_xlfn.XLOOKUP(SSQ_Raw!Z9,'SSQ Metadata'!$A$5:$A$8,'SSQ Metadata'!$B$5:$B$8)</f>
        <v>1</v>
      </c>
      <c r="AA9" s="45">
        <f>_xlfn.XLOOKUP(SSQ_Raw!AA9,'SSQ Metadata'!$A$5:$A$8,'SSQ Metadata'!$B$5:$B$8)</f>
        <v>3</v>
      </c>
      <c r="AB9" s="45">
        <f>_xlfn.XLOOKUP(SSQ_Raw!AB9,'SSQ Metadata'!$A$5:$A$8,'SSQ Metadata'!$B$5:$B$8)</f>
        <v>2</v>
      </c>
      <c r="AC9" s="45">
        <f>_xlfn.XLOOKUP(SSQ_Raw!AC9,'SSQ Metadata'!$A$5:$A$8,'SSQ Metadata'!$B$5:$B$8)</f>
        <v>0</v>
      </c>
      <c r="AD9" s="45">
        <f>_xlfn.XLOOKUP(SSQ_Raw!AD9,'SSQ Metadata'!$A$5:$A$8,'SSQ Metadata'!$B$5:$B$8)</f>
        <v>0</v>
      </c>
      <c r="AE9" s="45">
        <f>_xlfn.XLOOKUP(SSQ_Raw!AE9,'SSQ Metadata'!$A$5:$A$8,'SSQ Metadata'!$B$5:$B$8)</f>
        <v>0</v>
      </c>
      <c r="AF9" s="45">
        <f>_xlfn.XLOOKUP(SSQ_Raw!AF9,'SSQ Metadata'!$A$5:$A$8,'SSQ Metadata'!$B$5:$B$8)</f>
        <v>0</v>
      </c>
      <c r="AG9" s="51">
        <f>_xlfn.XLOOKUP(SSQ_Raw!AG9,'SSQ Metadata'!$A$5:$A$8,'SSQ Metadata'!$B$5:$B$8)</f>
        <v>0</v>
      </c>
      <c r="AH9" s="3" t="s">
        <v>13</v>
      </c>
    </row>
    <row r="10" spans="1:34" x14ac:dyDescent="0.2">
      <c r="A10" s="65">
        <v>7</v>
      </c>
      <c r="B10" s="50">
        <f>_xlfn.XLOOKUP(SSQ_Raw!B10,'SSQ Metadata'!$A$5:$A$8,'SSQ Metadata'!$B$5:$B$8)</f>
        <v>0</v>
      </c>
      <c r="C10" s="45">
        <f>_xlfn.XLOOKUP(SSQ_Raw!C10,'SSQ Metadata'!$A$5:$A$8,'SSQ Metadata'!$B$5:$B$8)</f>
        <v>2</v>
      </c>
      <c r="D10" s="45">
        <f>_xlfn.XLOOKUP(SSQ_Raw!D10,'SSQ Metadata'!$A$5:$A$8,'SSQ Metadata'!$B$5:$B$8)</f>
        <v>0</v>
      </c>
      <c r="E10" s="45">
        <f>_xlfn.XLOOKUP(SSQ_Raw!E10,'SSQ Metadata'!$A$5:$A$8,'SSQ Metadata'!$B$5:$B$8)</f>
        <v>1</v>
      </c>
      <c r="F10" s="45">
        <f>_xlfn.XLOOKUP(SSQ_Raw!F10,'SSQ Metadata'!$A$5:$A$8,'SSQ Metadata'!$B$5:$B$8)</f>
        <v>0</v>
      </c>
      <c r="G10" s="45">
        <f>_xlfn.XLOOKUP(SSQ_Raw!G10,'SSQ Metadata'!$A$5:$A$8,'SSQ Metadata'!$B$5:$B$8)</f>
        <v>0</v>
      </c>
      <c r="H10" s="45">
        <f>_xlfn.XLOOKUP(SSQ_Raw!H10,'SSQ Metadata'!$A$5:$A$8,'SSQ Metadata'!$B$5:$B$8)</f>
        <v>0</v>
      </c>
      <c r="I10" s="45">
        <f>_xlfn.XLOOKUP(SSQ_Raw!I10,'SSQ Metadata'!$A$5:$A$8,'SSQ Metadata'!$B$5:$B$8)</f>
        <v>0</v>
      </c>
      <c r="J10" s="45">
        <f>_xlfn.XLOOKUP(SSQ_Raw!J10,'SSQ Metadata'!$A$5:$A$8,'SSQ Metadata'!$B$5:$B$8)</f>
        <v>0</v>
      </c>
      <c r="K10" s="45">
        <f>_xlfn.XLOOKUP(SSQ_Raw!K10,'SSQ Metadata'!$A$5:$A$8,'SSQ Metadata'!$B$5:$B$8)</f>
        <v>0</v>
      </c>
      <c r="L10" s="45">
        <f>_xlfn.XLOOKUP(SSQ_Raw!L10,'SSQ Metadata'!$A$5:$A$8,'SSQ Metadata'!$B$5:$B$8)</f>
        <v>1</v>
      </c>
      <c r="M10" s="45">
        <f>_xlfn.XLOOKUP(SSQ_Raw!M10,'SSQ Metadata'!$A$5:$A$8,'SSQ Metadata'!$B$5:$B$8)</f>
        <v>0</v>
      </c>
      <c r="N10" s="45">
        <f>_xlfn.XLOOKUP(SSQ_Raw!N10,'SSQ Metadata'!$A$5:$A$8,'SSQ Metadata'!$B$5:$B$8)</f>
        <v>0</v>
      </c>
      <c r="O10" s="45">
        <f>_xlfn.XLOOKUP(SSQ_Raw!O10,'SSQ Metadata'!$A$5:$A$8,'SSQ Metadata'!$B$5:$B$8)</f>
        <v>0</v>
      </c>
      <c r="P10" s="45">
        <f>_xlfn.XLOOKUP(SSQ_Raw!P10,'SSQ Metadata'!$A$5:$A$8,'SSQ Metadata'!$B$5:$B$8)</f>
        <v>0</v>
      </c>
      <c r="Q10" s="45">
        <f>_xlfn.XLOOKUP(SSQ_Raw!Q10,'SSQ Metadata'!$A$5:$A$8,'SSQ Metadata'!$B$5:$B$8)</f>
        <v>0</v>
      </c>
      <c r="R10" s="45">
        <f>_xlfn.XLOOKUP(SSQ_Raw!R10,'SSQ Metadata'!$A$5:$A$8,'SSQ Metadata'!$B$5:$B$8)</f>
        <v>0</v>
      </c>
      <c r="S10" s="45">
        <f>_xlfn.XLOOKUP(SSQ_Raw!S10,'SSQ Metadata'!$A$5:$A$8,'SSQ Metadata'!$B$5:$B$8)</f>
        <v>2</v>
      </c>
      <c r="T10" s="45">
        <f>_xlfn.XLOOKUP(SSQ_Raw!T10,'SSQ Metadata'!$A$5:$A$8,'SSQ Metadata'!$B$5:$B$8)</f>
        <v>0</v>
      </c>
      <c r="U10" s="45">
        <f>_xlfn.XLOOKUP(SSQ_Raw!U10,'SSQ Metadata'!$A$5:$A$8,'SSQ Metadata'!$B$5:$B$8)</f>
        <v>2</v>
      </c>
      <c r="V10" s="45">
        <f>_xlfn.XLOOKUP(SSQ_Raw!V10,'SSQ Metadata'!$A$5:$A$8,'SSQ Metadata'!$B$5:$B$8)</f>
        <v>1</v>
      </c>
      <c r="W10" s="45">
        <f>_xlfn.XLOOKUP(SSQ_Raw!W10,'SSQ Metadata'!$A$5:$A$8,'SSQ Metadata'!$B$5:$B$8)</f>
        <v>0</v>
      </c>
      <c r="X10" s="45">
        <f>_xlfn.XLOOKUP(SSQ_Raw!X10,'SSQ Metadata'!$A$5:$A$8,'SSQ Metadata'!$B$5:$B$8)</f>
        <v>0</v>
      </c>
      <c r="Y10" s="45">
        <f>_xlfn.XLOOKUP(SSQ_Raw!Y10,'SSQ Metadata'!$A$5:$A$8,'SSQ Metadata'!$B$5:$B$8)</f>
        <v>0</v>
      </c>
      <c r="Z10" s="45">
        <f>_xlfn.XLOOKUP(SSQ_Raw!Z10,'SSQ Metadata'!$A$5:$A$8,'SSQ Metadata'!$B$5:$B$8)</f>
        <v>1</v>
      </c>
      <c r="AA10" s="45">
        <f>_xlfn.XLOOKUP(SSQ_Raw!AA10,'SSQ Metadata'!$A$5:$A$8,'SSQ Metadata'!$B$5:$B$8)</f>
        <v>0</v>
      </c>
      <c r="AB10" s="45">
        <f>_xlfn.XLOOKUP(SSQ_Raw!AB10,'SSQ Metadata'!$A$5:$A$8,'SSQ Metadata'!$B$5:$B$8)</f>
        <v>1</v>
      </c>
      <c r="AC10" s="45">
        <f>_xlfn.XLOOKUP(SSQ_Raw!AC10,'SSQ Metadata'!$A$5:$A$8,'SSQ Metadata'!$B$5:$B$8)</f>
        <v>2</v>
      </c>
      <c r="AD10" s="45">
        <f>_xlfn.XLOOKUP(SSQ_Raw!AD10,'SSQ Metadata'!$A$5:$A$8,'SSQ Metadata'!$B$5:$B$8)</f>
        <v>1</v>
      </c>
      <c r="AE10" s="45">
        <f>_xlfn.XLOOKUP(SSQ_Raw!AE10,'SSQ Metadata'!$A$5:$A$8,'SSQ Metadata'!$B$5:$B$8)</f>
        <v>0</v>
      </c>
      <c r="AF10" s="45">
        <f>_xlfn.XLOOKUP(SSQ_Raw!AF10,'SSQ Metadata'!$A$5:$A$8,'SSQ Metadata'!$B$5:$B$8)</f>
        <v>0</v>
      </c>
      <c r="AG10" s="51">
        <f>_xlfn.XLOOKUP(SSQ_Raw!AG10,'SSQ Metadata'!$A$5:$A$8,'SSQ Metadata'!$B$5:$B$8)</f>
        <v>0</v>
      </c>
      <c r="AH10" s="3" t="s">
        <v>17</v>
      </c>
    </row>
    <row r="11" spans="1:34" x14ac:dyDescent="0.2">
      <c r="A11" s="65">
        <v>8</v>
      </c>
      <c r="B11" s="50">
        <f>_xlfn.XLOOKUP(SSQ_Raw!B11,'SSQ Metadata'!$A$5:$A$8,'SSQ Metadata'!$B$5:$B$8)</f>
        <v>0</v>
      </c>
      <c r="C11" s="45">
        <f>_xlfn.XLOOKUP(SSQ_Raw!C11,'SSQ Metadata'!$A$5:$A$8,'SSQ Metadata'!$B$5:$B$8)</f>
        <v>0</v>
      </c>
      <c r="D11" s="45">
        <f>_xlfn.XLOOKUP(SSQ_Raw!D11,'SSQ Metadata'!$A$5:$A$8,'SSQ Metadata'!$B$5:$B$8)</f>
        <v>0</v>
      </c>
      <c r="E11" s="45">
        <f>_xlfn.XLOOKUP(SSQ_Raw!E11,'SSQ Metadata'!$A$5:$A$8,'SSQ Metadata'!$B$5:$B$8)</f>
        <v>0</v>
      </c>
      <c r="F11" s="45">
        <f>_xlfn.XLOOKUP(SSQ_Raw!F11,'SSQ Metadata'!$A$5:$A$8,'SSQ Metadata'!$B$5:$B$8)</f>
        <v>0</v>
      </c>
      <c r="G11" s="45">
        <f>_xlfn.XLOOKUP(SSQ_Raw!G11,'SSQ Metadata'!$A$5:$A$8,'SSQ Metadata'!$B$5:$B$8)</f>
        <v>0</v>
      </c>
      <c r="H11" s="45">
        <f>_xlfn.XLOOKUP(SSQ_Raw!H11,'SSQ Metadata'!$A$5:$A$8,'SSQ Metadata'!$B$5:$B$8)</f>
        <v>0</v>
      </c>
      <c r="I11" s="45">
        <f>_xlfn.XLOOKUP(SSQ_Raw!I11,'SSQ Metadata'!$A$5:$A$8,'SSQ Metadata'!$B$5:$B$8)</f>
        <v>0</v>
      </c>
      <c r="J11" s="45">
        <f>_xlfn.XLOOKUP(SSQ_Raw!J11,'SSQ Metadata'!$A$5:$A$8,'SSQ Metadata'!$B$5:$B$8)</f>
        <v>0</v>
      </c>
      <c r="K11" s="45">
        <f>_xlfn.XLOOKUP(SSQ_Raw!K11,'SSQ Metadata'!$A$5:$A$8,'SSQ Metadata'!$B$5:$B$8)</f>
        <v>0</v>
      </c>
      <c r="L11" s="45">
        <f>_xlfn.XLOOKUP(SSQ_Raw!L11,'SSQ Metadata'!$A$5:$A$8,'SSQ Metadata'!$B$5:$B$8)</f>
        <v>0</v>
      </c>
      <c r="M11" s="45">
        <f>_xlfn.XLOOKUP(SSQ_Raw!M11,'SSQ Metadata'!$A$5:$A$8,'SSQ Metadata'!$B$5:$B$8)</f>
        <v>0</v>
      </c>
      <c r="N11" s="45">
        <f>_xlfn.XLOOKUP(SSQ_Raw!N11,'SSQ Metadata'!$A$5:$A$8,'SSQ Metadata'!$B$5:$B$8)</f>
        <v>0</v>
      </c>
      <c r="O11" s="45">
        <f>_xlfn.XLOOKUP(SSQ_Raw!O11,'SSQ Metadata'!$A$5:$A$8,'SSQ Metadata'!$B$5:$B$8)</f>
        <v>0</v>
      </c>
      <c r="P11" s="45">
        <f>_xlfn.XLOOKUP(SSQ_Raw!P11,'SSQ Metadata'!$A$5:$A$8,'SSQ Metadata'!$B$5:$B$8)</f>
        <v>0</v>
      </c>
      <c r="Q11" s="45">
        <f>_xlfn.XLOOKUP(SSQ_Raw!Q11,'SSQ Metadata'!$A$5:$A$8,'SSQ Metadata'!$B$5:$B$8)</f>
        <v>0</v>
      </c>
      <c r="R11" s="45">
        <f>_xlfn.XLOOKUP(SSQ_Raw!R11,'SSQ Metadata'!$A$5:$A$8,'SSQ Metadata'!$B$5:$B$8)</f>
        <v>1</v>
      </c>
      <c r="S11" s="45">
        <f>_xlfn.XLOOKUP(SSQ_Raw!S11,'SSQ Metadata'!$A$5:$A$8,'SSQ Metadata'!$B$5:$B$8)</f>
        <v>0</v>
      </c>
      <c r="T11" s="45">
        <f>_xlfn.XLOOKUP(SSQ_Raw!T11,'SSQ Metadata'!$A$5:$A$8,'SSQ Metadata'!$B$5:$B$8)</f>
        <v>0</v>
      </c>
      <c r="U11" s="45">
        <f>_xlfn.XLOOKUP(SSQ_Raw!U11,'SSQ Metadata'!$A$5:$A$8,'SSQ Metadata'!$B$5:$B$8)</f>
        <v>2</v>
      </c>
      <c r="V11" s="45">
        <f>_xlfn.XLOOKUP(SSQ_Raw!V11,'SSQ Metadata'!$A$5:$A$8,'SSQ Metadata'!$B$5:$B$8)</f>
        <v>0</v>
      </c>
      <c r="W11" s="45">
        <f>_xlfn.XLOOKUP(SSQ_Raw!W11,'SSQ Metadata'!$A$5:$A$8,'SSQ Metadata'!$B$5:$B$8)</f>
        <v>0</v>
      </c>
      <c r="X11" s="45">
        <f>_xlfn.XLOOKUP(SSQ_Raw!X11,'SSQ Metadata'!$A$5:$A$8,'SSQ Metadata'!$B$5:$B$8)</f>
        <v>0</v>
      </c>
      <c r="Y11" s="45">
        <f>_xlfn.XLOOKUP(SSQ_Raw!Y11,'SSQ Metadata'!$A$5:$A$8,'SSQ Metadata'!$B$5:$B$8)</f>
        <v>0</v>
      </c>
      <c r="Z11" s="45">
        <f>_xlfn.XLOOKUP(SSQ_Raw!Z11,'SSQ Metadata'!$A$5:$A$8,'SSQ Metadata'!$B$5:$B$8)</f>
        <v>0</v>
      </c>
      <c r="AA11" s="45">
        <f>_xlfn.XLOOKUP(SSQ_Raw!AA11,'SSQ Metadata'!$A$5:$A$8,'SSQ Metadata'!$B$5:$B$8)</f>
        <v>1</v>
      </c>
      <c r="AB11" s="45">
        <f>_xlfn.XLOOKUP(SSQ_Raw!AB11,'SSQ Metadata'!$A$5:$A$8,'SSQ Metadata'!$B$5:$B$8)</f>
        <v>0</v>
      </c>
      <c r="AC11" s="45">
        <f>_xlfn.XLOOKUP(SSQ_Raw!AC11,'SSQ Metadata'!$A$5:$A$8,'SSQ Metadata'!$B$5:$B$8)</f>
        <v>0</v>
      </c>
      <c r="AD11" s="45">
        <f>_xlfn.XLOOKUP(SSQ_Raw!AD11,'SSQ Metadata'!$A$5:$A$8,'SSQ Metadata'!$B$5:$B$8)</f>
        <v>0</v>
      </c>
      <c r="AE11" s="45">
        <f>_xlfn.XLOOKUP(SSQ_Raw!AE11,'SSQ Metadata'!$A$5:$A$8,'SSQ Metadata'!$B$5:$B$8)</f>
        <v>0</v>
      </c>
      <c r="AF11" s="45">
        <f>_xlfn.XLOOKUP(SSQ_Raw!AF11,'SSQ Metadata'!$A$5:$A$8,'SSQ Metadata'!$B$5:$B$8)</f>
        <v>0</v>
      </c>
      <c r="AG11" s="51">
        <f>_xlfn.XLOOKUP(SSQ_Raw!AG11,'SSQ Metadata'!$A$5:$A$8,'SSQ Metadata'!$B$5:$B$8)</f>
        <v>0</v>
      </c>
      <c r="AH11" s="3" t="s">
        <v>14</v>
      </c>
    </row>
    <row r="12" spans="1:34" x14ac:dyDescent="0.2">
      <c r="A12" s="65">
        <v>9</v>
      </c>
      <c r="B12" s="50">
        <f>_xlfn.XLOOKUP(SSQ_Raw!B12,'SSQ Metadata'!$A$5:$A$8,'SSQ Metadata'!$B$5:$B$8)</f>
        <v>0</v>
      </c>
      <c r="C12" s="45">
        <f>_xlfn.XLOOKUP(SSQ_Raw!C12,'SSQ Metadata'!$A$5:$A$8,'SSQ Metadata'!$B$5:$B$8)</f>
        <v>0</v>
      </c>
      <c r="D12" s="45">
        <f>_xlfn.XLOOKUP(SSQ_Raw!D12,'SSQ Metadata'!$A$5:$A$8,'SSQ Metadata'!$B$5:$B$8)</f>
        <v>0</v>
      </c>
      <c r="E12" s="45">
        <f>_xlfn.XLOOKUP(SSQ_Raw!E12,'SSQ Metadata'!$A$5:$A$8,'SSQ Metadata'!$B$5:$B$8)</f>
        <v>0</v>
      </c>
      <c r="F12" s="45">
        <f>_xlfn.XLOOKUP(SSQ_Raw!F12,'SSQ Metadata'!$A$5:$A$8,'SSQ Metadata'!$B$5:$B$8)</f>
        <v>0</v>
      </c>
      <c r="G12" s="45">
        <f>_xlfn.XLOOKUP(SSQ_Raw!G12,'SSQ Metadata'!$A$5:$A$8,'SSQ Metadata'!$B$5:$B$8)</f>
        <v>0</v>
      </c>
      <c r="H12" s="45">
        <f>_xlfn.XLOOKUP(SSQ_Raw!H12,'SSQ Metadata'!$A$5:$A$8,'SSQ Metadata'!$B$5:$B$8)</f>
        <v>0</v>
      </c>
      <c r="I12" s="45">
        <f>_xlfn.XLOOKUP(SSQ_Raw!I12,'SSQ Metadata'!$A$5:$A$8,'SSQ Metadata'!$B$5:$B$8)</f>
        <v>0</v>
      </c>
      <c r="J12" s="45">
        <f>_xlfn.XLOOKUP(SSQ_Raw!J12,'SSQ Metadata'!$A$5:$A$8,'SSQ Metadata'!$B$5:$B$8)</f>
        <v>0</v>
      </c>
      <c r="K12" s="45">
        <f>_xlfn.XLOOKUP(SSQ_Raw!K12,'SSQ Metadata'!$A$5:$A$8,'SSQ Metadata'!$B$5:$B$8)</f>
        <v>0</v>
      </c>
      <c r="L12" s="45">
        <f>_xlfn.XLOOKUP(SSQ_Raw!L12,'SSQ Metadata'!$A$5:$A$8,'SSQ Metadata'!$B$5:$B$8)</f>
        <v>0</v>
      </c>
      <c r="M12" s="45">
        <f>_xlfn.XLOOKUP(SSQ_Raw!M12,'SSQ Metadata'!$A$5:$A$8,'SSQ Metadata'!$B$5:$B$8)</f>
        <v>0</v>
      </c>
      <c r="N12" s="45">
        <f>_xlfn.XLOOKUP(SSQ_Raw!N12,'SSQ Metadata'!$A$5:$A$8,'SSQ Metadata'!$B$5:$B$8)</f>
        <v>0</v>
      </c>
      <c r="O12" s="45">
        <f>_xlfn.XLOOKUP(SSQ_Raw!O12,'SSQ Metadata'!$A$5:$A$8,'SSQ Metadata'!$B$5:$B$8)</f>
        <v>0</v>
      </c>
      <c r="P12" s="45">
        <f>_xlfn.XLOOKUP(SSQ_Raw!P12,'SSQ Metadata'!$A$5:$A$8,'SSQ Metadata'!$B$5:$B$8)</f>
        <v>0</v>
      </c>
      <c r="Q12" s="45">
        <f>_xlfn.XLOOKUP(SSQ_Raw!Q12,'SSQ Metadata'!$A$5:$A$8,'SSQ Metadata'!$B$5:$B$8)</f>
        <v>0</v>
      </c>
      <c r="R12" s="45">
        <f>_xlfn.XLOOKUP(SSQ_Raw!R12,'SSQ Metadata'!$A$5:$A$8,'SSQ Metadata'!$B$5:$B$8)</f>
        <v>2</v>
      </c>
      <c r="S12" s="45">
        <f>_xlfn.XLOOKUP(SSQ_Raw!S12,'SSQ Metadata'!$A$5:$A$8,'SSQ Metadata'!$B$5:$B$8)</f>
        <v>3</v>
      </c>
      <c r="T12" s="45">
        <f>_xlfn.XLOOKUP(SSQ_Raw!T12,'SSQ Metadata'!$A$5:$A$8,'SSQ Metadata'!$B$5:$B$8)</f>
        <v>3</v>
      </c>
      <c r="U12" s="45">
        <f>_xlfn.XLOOKUP(SSQ_Raw!U12,'SSQ Metadata'!$A$5:$A$8,'SSQ Metadata'!$B$5:$B$8)</f>
        <v>3</v>
      </c>
      <c r="V12" s="45">
        <f>_xlfn.XLOOKUP(SSQ_Raw!V12,'SSQ Metadata'!$A$5:$A$8,'SSQ Metadata'!$B$5:$B$8)</f>
        <v>2</v>
      </c>
      <c r="W12" s="45">
        <f>_xlfn.XLOOKUP(SSQ_Raw!W12,'SSQ Metadata'!$A$5:$A$8,'SSQ Metadata'!$B$5:$B$8)</f>
        <v>0</v>
      </c>
      <c r="X12" s="45">
        <f>_xlfn.XLOOKUP(SSQ_Raw!X12,'SSQ Metadata'!$A$5:$A$8,'SSQ Metadata'!$B$5:$B$8)</f>
        <v>0</v>
      </c>
      <c r="Y12" s="45">
        <f>_xlfn.XLOOKUP(SSQ_Raw!Y12,'SSQ Metadata'!$A$5:$A$8,'SSQ Metadata'!$B$5:$B$8)</f>
        <v>1</v>
      </c>
      <c r="Z12" s="45">
        <f>_xlfn.XLOOKUP(SSQ_Raw!Z12,'SSQ Metadata'!$A$5:$A$8,'SSQ Metadata'!$B$5:$B$8)</f>
        <v>2</v>
      </c>
      <c r="AA12" s="45">
        <f>_xlfn.XLOOKUP(SSQ_Raw!AA12,'SSQ Metadata'!$A$5:$A$8,'SSQ Metadata'!$B$5:$B$8)</f>
        <v>2</v>
      </c>
      <c r="AB12" s="45">
        <f>_xlfn.XLOOKUP(SSQ_Raw!AB12,'SSQ Metadata'!$A$5:$A$8,'SSQ Metadata'!$B$5:$B$8)</f>
        <v>3</v>
      </c>
      <c r="AC12" s="45">
        <f>_xlfn.XLOOKUP(SSQ_Raw!AC12,'SSQ Metadata'!$A$5:$A$8,'SSQ Metadata'!$B$5:$B$8)</f>
        <v>2</v>
      </c>
      <c r="AD12" s="45">
        <f>_xlfn.XLOOKUP(SSQ_Raw!AD12,'SSQ Metadata'!$A$5:$A$8,'SSQ Metadata'!$B$5:$B$8)</f>
        <v>1</v>
      </c>
      <c r="AE12" s="45">
        <f>_xlfn.XLOOKUP(SSQ_Raw!AE12,'SSQ Metadata'!$A$5:$A$8,'SSQ Metadata'!$B$5:$B$8)</f>
        <v>0</v>
      </c>
      <c r="AF12" s="45">
        <f>_xlfn.XLOOKUP(SSQ_Raw!AF12,'SSQ Metadata'!$A$5:$A$8,'SSQ Metadata'!$B$5:$B$8)</f>
        <v>1</v>
      </c>
      <c r="AG12" s="51">
        <f>_xlfn.XLOOKUP(SSQ_Raw!AG12,'SSQ Metadata'!$A$5:$A$8,'SSQ Metadata'!$B$5:$B$8)</f>
        <v>0</v>
      </c>
      <c r="AH12" s="3" t="s">
        <v>10</v>
      </c>
    </row>
    <row r="13" spans="1:34" x14ac:dyDescent="0.2">
      <c r="A13" s="65">
        <v>10</v>
      </c>
      <c r="B13" s="50">
        <f>_xlfn.XLOOKUP(SSQ_Raw!B13,'SSQ Metadata'!$A$5:$A$8,'SSQ Metadata'!$B$5:$B$8)</f>
        <v>0</v>
      </c>
      <c r="C13" s="45">
        <f>_xlfn.XLOOKUP(SSQ_Raw!C13,'SSQ Metadata'!$A$5:$A$8,'SSQ Metadata'!$B$5:$B$8)</f>
        <v>0</v>
      </c>
      <c r="D13" s="45">
        <f>_xlfn.XLOOKUP(SSQ_Raw!D13,'SSQ Metadata'!$A$5:$A$8,'SSQ Metadata'!$B$5:$B$8)</f>
        <v>0</v>
      </c>
      <c r="E13" s="45">
        <f>_xlfn.XLOOKUP(SSQ_Raw!E13,'SSQ Metadata'!$A$5:$A$8,'SSQ Metadata'!$B$5:$B$8)</f>
        <v>0</v>
      </c>
      <c r="F13" s="45">
        <f>_xlfn.XLOOKUP(SSQ_Raw!F13,'SSQ Metadata'!$A$5:$A$8,'SSQ Metadata'!$B$5:$B$8)</f>
        <v>0</v>
      </c>
      <c r="G13" s="45">
        <f>_xlfn.XLOOKUP(SSQ_Raw!G13,'SSQ Metadata'!$A$5:$A$8,'SSQ Metadata'!$B$5:$B$8)</f>
        <v>0</v>
      </c>
      <c r="H13" s="45">
        <f>_xlfn.XLOOKUP(SSQ_Raw!H13,'SSQ Metadata'!$A$5:$A$8,'SSQ Metadata'!$B$5:$B$8)</f>
        <v>0</v>
      </c>
      <c r="I13" s="45">
        <f>_xlfn.XLOOKUP(SSQ_Raw!I13,'SSQ Metadata'!$A$5:$A$8,'SSQ Metadata'!$B$5:$B$8)</f>
        <v>0</v>
      </c>
      <c r="J13" s="45">
        <f>_xlfn.XLOOKUP(SSQ_Raw!J13,'SSQ Metadata'!$A$5:$A$8,'SSQ Metadata'!$B$5:$B$8)</f>
        <v>0</v>
      </c>
      <c r="K13" s="45">
        <f>_xlfn.XLOOKUP(SSQ_Raw!K13,'SSQ Metadata'!$A$5:$A$8,'SSQ Metadata'!$B$5:$B$8)</f>
        <v>0</v>
      </c>
      <c r="L13" s="45">
        <f>_xlfn.XLOOKUP(SSQ_Raw!L13,'SSQ Metadata'!$A$5:$A$8,'SSQ Metadata'!$B$5:$B$8)</f>
        <v>0</v>
      </c>
      <c r="M13" s="45">
        <f>_xlfn.XLOOKUP(SSQ_Raw!M13,'SSQ Metadata'!$A$5:$A$8,'SSQ Metadata'!$B$5:$B$8)</f>
        <v>0</v>
      </c>
      <c r="N13" s="45">
        <f>_xlfn.XLOOKUP(SSQ_Raw!N13,'SSQ Metadata'!$A$5:$A$8,'SSQ Metadata'!$B$5:$B$8)</f>
        <v>0</v>
      </c>
      <c r="O13" s="45">
        <f>_xlfn.XLOOKUP(SSQ_Raw!O13,'SSQ Metadata'!$A$5:$A$8,'SSQ Metadata'!$B$5:$B$8)</f>
        <v>0</v>
      </c>
      <c r="P13" s="45">
        <f>_xlfn.XLOOKUP(SSQ_Raw!P13,'SSQ Metadata'!$A$5:$A$8,'SSQ Metadata'!$B$5:$B$8)</f>
        <v>0</v>
      </c>
      <c r="Q13" s="45">
        <f>_xlfn.XLOOKUP(SSQ_Raw!Q13,'SSQ Metadata'!$A$5:$A$8,'SSQ Metadata'!$B$5:$B$8)</f>
        <v>0</v>
      </c>
      <c r="R13" s="45">
        <f>_xlfn.XLOOKUP(SSQ_Raw!R13,'SSQ Metadata'!$A$5:$A$8,'SSQ Metadata'!$B$5:$B$8)</f>
        <v>1</v>
      </c>
      <c r="S13" s="45">
        <f>_xlfn.XLOOKUP(SSQ_Raw!S13,'SSQ Metadata'!$A$5:$A$8,'SSQ Metadata'!$B$5:$B$8)</f>
        <v>0</v>
      </c>
      <c r="T13" s="45">
        <f>_xlfn.XLOOKUP(SSQ_Raw!T13,'SSQ Metadata'!$A$5:$A$8,'SSQ Metadata'!$B$5:$B$8)</f>
        <v>0</v>
      </c>
      <c r="U13" s="45">
        <f>_xlfn.XLOOKUP(SSQ_Raw!U13,'SSQ Metadata'!$A$5:$A$8,'SSQ Metadata'!$B$5:$B$8)</f>
        <v>0</v>
      </c>
      <c r="V13" s="45">
        <f>_xlfn.XLOOKUP(SSQ_Raw!V13,'SSQ Metadata'!$A$5:$A$8,'SSQ Metadata'!$B$5:$B$8)</f>
        <v>0</v>
      </c>
      <c r="W13" s="45">
        <f>_xlfn.XLOOKUP(SSQ_Raw!W13,'SSQ Metadata'!$A$5:$A$8,'SSQ Metadata'!$B$5:$B$8)</f>
        <v>0</v>
      </c>
      <c r="X13" s="45">
        <f>_xlfn.XLOOKUP(SSQ_Raw!X13,'SSQ Metadata'!$A$5:$A$8,'SSQ Metadata'!$B$5:$B$8)</f>
        <v>0</v>
      </c>
      <c r="Y13" s="45">
        <f>_xlfn.XLOOKUP(SSQ_Raw!Y13,'SSQ Metadata'!$A$5:$A$8,'SSQ Metadata'!$B$5:$B$8)</f>
        <v>0</v>
      </c>
      <c r="Z13" s="45">
        <f>_xlfn.XLOOKUP(SSQ_Raw!Z13,'SSQ Metadata'!$A$5:$A$8,'SSQ Metadata'!$B$5:$B$8)</f>
        <v>0</v>
      </c>
      <c r="AA13" s="45">
        <f>_xlfn.XLOOKUP(SSQ_Raw!AA13,'SSQ Metadata'!$A$5:$A$8,'SSQ Metadata'!$B$5:$B$8)</f>
        <v>1</v>
      </c>
      <c r="AB13" s="45">
        <f>_xlfn.XLOOKUP(SSQ_Raw!AB13,'SSQ Metadata'!$A$5:$A$8,'SSQ Metadata'!$B$5:$B$8)</f>
        <v>0</v>
      </c>
      <c r="AC13" s="45">
        <f>_xlfn.XLOOKUP(SSQ_Raw!AC13,'SSQ Metadata'!$A$5:$A$8,'SSQ Metadata'!$B$5:$B$8)</f>
        <v>0</v>
      </c>
      <c r="AD13" s="45">
        <f>_xlfn.XLOOKUP(SSQ_Raw!AD13,'SSQ Metadata'!$A$5:$A$8,'SSQ Metadata'!$B$5:$B$8)</f>
        <v>0</v>
      </c>
      <c r="AE13" s="45">
        <f>_xlfn.XLOOKUP(SSQ_Raw!AE13,'SSQ Metadata'!$A$5:$A$8,'SSQ Metadata'!$B$5:$B$8)</f>
        <v>0</v>
      </c>
      <c r="AF13" s="45">
        <f>_xlfn.XLOOKUP(SSQ_Raw!AF13,'SSQ Metadata'!$A$5:$A$8,'SSQ Metadata'!$B$5:$B$8)</f>
        <v>0</v>
      </c>
      <c r="AG13" s="51">
        <f>_xlfn.XLOOKUP(SSQ_Raw!AG13,'SSQ Metadata'!$A$5:$A$8,'SSQ Metadata'!$B$5:$B$8)</f>
        <v>0</v>
      </c>
      <c r="AH13" s="3" t="s">
        <v>18</v>
      </c>
    </row>
    <row r="14" spans="1:34" x14ac:dyDescent="0.2">
      <c r="A14" s="65">
        <v>11</v>
      </c>
      <c r="B14" s="50">
        <f>_xlfn.XLOOKUP(SSQ_Raw!B14,'SSQ Metadata'!$A$5:$A$8,'SSQ Metadata'!$B$5:$B$8)</f>
        <v>1</v>
      </c>
      <c r="C14" s="45">
        <f>_xlfn.XLOOKUP(SSQ_Raw!C14,'SSQ Metadata'!$A$5:$A$8,'SSQ Metadata'!$B$5:$B$8)</f>
        <v>2</v>
      </c>
      <c r="D14" s="45">
        <f>_xlfn.XLOOKUP(SSQ_Raw!D14,'SSQ Metadata'!$A$5:$A$8,'SSQ Metadata'!$B$5:$B$8)</f>
        <v>0</v>
      </c>
      <c r="E14" s="45">
        <f>_xlfn.XLOOKUP(SSQ_Raw!E14,'SSQ Metadata'!$A$5:$A$8,'SSQ Metadata'!$B$5:$B$8)</f>
        <v>0</v>
      </c>
      <c r="F14" s="45">
        <f>_xlfn.XLOOKUP(SSQ_Raw!F14,'SSQ Metadata'!$A$5:$A$8,'SSQ Metadata'!$B$5:$B$8)</f>
        <v>0</v>
      </c>
      <c r="G14" s="45">
        <f>_xlfn.XLOOKUP(SSQ_Raw!G14,'SSQ Metadata'!$A$5:$A$8,'SSQ Metadata'!$B$5:$B$8)</f>
        <v>0</v>
      </c>
      <c r="H14" s="45">
        <f>_xlfn.XLOOKUP(SSQ_Raw!H14,'SSQ Metadata'!$A$5:$A$8,'SSQ Metadata'!$B$5:$B$8)</f>
        <v>2</v>
      </c>
      <c r="I14" s="45">
        <f>_xlfn.XLOOKUP(SSQ_Raw!I14,'SSQ Metadata'!$A$5:$A$8,'SSQ Metadata'!$B$5:$B$8)</f>
        <v>0</v>
      </c>
      <c r="J14" s="45">
        <f>_xlfn.XLOOKUP(SSQ_Raw!J14,'SSQ Metadata'!$A$5:$A$8,'SSQ Metadata'!$B$5:$B$8)</f>
        <v>1</v>
      </c>
      <c r="K14" s="45">
        <f>_xlfn.XLOOKUP(SSQ_Raw!K14,'SSQ Metadata'!$A$5:$A$8,'SSQ Metadata'!$B$5:$B$8)</f>
        <v>0</v>
      </c>
      <c r="L14" s="45">
        <f>_xlfn.XLOOKUP(SSQ_Raw!L14,'SSQ Metadata'!$A$5:$A$8,'SSQ Metadata'!$B$5:$B$8)</f>
        <v>0</v>
      </c>
      <c r="M14" s="45">
        <f>_xlfn.XLOOKUP(SSQ_Raw!M14,'SSQ Metadata'!$A$5:$A$8,'SSQ Metadata'!$B$5:$B$8)</f>
        <v>0</v>
      </c>
      <c r="N14" s="45">
        <f>_xlfn.XLOOKUP(SSQ_Raw!N14,'SSQ Metadata'!$A$5:$A$8,'SSQ Metadata'!$B$5:$B$8)</f>
        <v>0</v>
      </c>
      <c r="O14" s="45">
        <f>_xlfn.XLOOKUP(SSQ_Raw!O14,'SSQ Metadata'!$A$5:$A$8,'SSQ Metadata'!$B$5:$B$8)</f>
        <v>0</v>
      </c>
      <c r="P14" s="45">
        <f>_xlfn.XLOOKUP(SSQ_Raw!P14,'SSQ Metadata'!$A$5:$A$8,'SSQ Metadata'!$B$5:$B$8)</f>
        <v>0</v>
      </c>
      <c r="Q14" s="45">
        <f>_xlfn.XLOOKUP(SSQ_Raw!Q14,'SSQ Metadata'!$A$5:$A$8,'SSQ Metadata'!$B$5:$B$8)</f>
        <v>0</v>
      </c>
      <c r="R14" s="45">
        <f>_xlfn.XLOOKUP(SSQ_Raw!R14,'SSQ Metadata'!$A$5:$A$8,'SSQ Metadata'!$B$5:$B$8)</f>
        <v>3</v>
      </c>
      <c r="S14" s="45">
        <f>_xlfn.XLOOKUP(SSQ_Raw!S14,'SSQ Metadata'!$A$5:$A$8,'SSQ Metadata'!$B$5:$B$8)</f>
        <v>3</v>
      </c>
      <c r="T14" s="45">
        <f>_xlfn.XLOOKUP(SSQ_Raw!T14,'SSQ Metadata'!$A$5:$A$8,'SSQ Metadata'!$B$5:$B$8)</f>
        <v>0</v>
      </c>
      <c r="U14" s="45">
        <f>_xlfn.XLOOKUP(SSQ_Raw!U14,'SSQ Metadata'!$A$5:$A$8,'SSQ Metadata'!$B$5:$B$8)</f>
        <v>3</v>
      </c>
      <c r="V14" s="45">
        <f>_xlfn.XLOOKUP(SSQ_Raw!V14,'SSQ Metadata'!$A$5:$A$8,'SSQ Metadata'!$B$5:$B$8)</f>
        <v>3</v>
      </c>
      <c r="W14" s="45">
        <f>_xlfn.XLOOKUP(SSQ_Raw!W14,'SSQ Metadata'!$A$5:$A$8,'SSQ Metadata'!$B$5:$B$8)</f>
        <v>1</v>
      </c>
      <c r="X14" s="45">
        <f>_xlfn.XLOOKUP(SSQ_Raw!X14,'SSQ Metadata'!$A$5:$A$8,'SSQ Metadata'!$B$5:$B$8)</f>
        <v>0</v>
      </c>
      <c r="Y14" s="45">
        <f>_xlfn.XLOOKUP(SSQ_Raw!Y14,'SSQ Metadata'!$A$5:$A$8,'SSQ Metadata'!$B$5:$B$8)</f>
        <v>2</v>
      </c>
      <c r="Z14" s="45">
        <f>_xlfn.XLOOKUP(SSQ_Raw!Z14,'SSQ Metadata'!$A$5:$A$8,'SSQ Metadata'!$B$5:$B$8)</f>
        <v>1</v>
      </c>
      <c r="AA14" s="45">
        <f>_xlfn.XLOOKUP(SSQ_Raw!AA14,'SSQ Metadata'!$A$5:$A$8,'SSQ Metadata'!$B$5:$B$8)</f>
        <v>0</v>
      </c>
      <c r="AB14" s="45">
        <f>_xlfn.XLOOKUP(SSQ_Raw!AB14,'SSQ Metadata'!$A$5:$A$8,'SSQ Metadata'!$B$5:$B$8)</f>
        <v>0</v>
      </c>
      <c r="AC14" s="45">
        <f>_xlfn.XLOOKUP(SSQ_Raw!AC14,'SSQ Metadata'!$A$5:$A$8,'SSQ Metadata'!$B$5:$B$8)</f>
        <v>0</v>
      </c>
      <c r="AD14" s="45">
        <f>_xlfn.XLOOKUP(SSQ_Raw!AD14,'SSQ Metadata'!$A$5:$A$8,'SSQ Metadata'!$B$5:$B$8)</f>
        <v>0</v>
      </c>
      <c r="AE14" s="45">
        <f>_xlfn.XLOOKUP(SSQ_Raw!AE14,'SSQ Metadata'!$A$5:$A$8,'SSQ Metadata'!$B$5:$B$8)</f>
        <v>0</v>
      </c>
      <c r="AF14" s="45">
        <f>_xlfn.XLOOKUP(SSQ_Raw!AF14,'SSQ Metadata'!$A$5:$A$8,'SSQ Metadata'!$B$5:$B$8)</f>
        <v>0</v>
      </c>
      <c r="AG14" s="51">
        <f>_xlfn.XLOOKUP(SSQ_Raw!AG14,'SSQ Metadata'!$A$5:$A$8,'SSQ Metadata'!$B$5:$B$8)</f>
        <v>0</v>
      </c>
      <c r="AH14" s="3" t="s">
        <v>15</v>
      </c>
    </row>
    <row r="15" spans="1:34" x14ac:dyDescent="0.2">
      <c r="A15" s="65">
        <v>12</v>
      </c>
      <c r="B15" s="50">
        <f>_xlfn.XLOOKUP(SSQ_Raw!B15,'SSQ Metadata'!$A$5:$A$8,'SSQ Metadata'!$B$5:$B$8)</f>
        <v>0</v>
      </c>
      <c r="C15" s="45">
        <f>_xlfn.XLOOKUP(SSQ_Raw!C15,'SSQ Metadata'!$A$5:$A$8,'SSQ Metadata'!$B$5:$B$8)</f>
        <v>1</v>
      </c>
      <c r="D15" s="45">
        <f>_xlfn.XLOOKUP(SSQ_Raw!D15,'SSQ Metadata'!$A$5:$A$8,'SSQ Metadata'!$B$5:$B$8)</f>
        <v>0</v>
      </c>
      <c r="E15" s="45">
        <f>_xlfn.XLOOKUP(SSQ_Raw!E15,'SSQ Metadata'!$A$5:$A$8,'SSQ Metadata'!$B$5:$B$8)</f>
        <v>0</v>
      </c>
      <c r="F15" s="45">
        <f>_xlfn.XLOOKUP(SSQ_Raw!F15,'SSQ Metadata'!$A$5:$A$8,'SSQ Metadata'!$B$5:$B$8)</f>
        <v>0</v>
      </c>
      <c r="G15" s="45">
        <f>_xlfn.XLOOKUP(SSQ_Raw!G15,'SSQ Metadata'!$A$5:$A$8,'SSQ Metadata'!$B$5:$B$8)</f>
        <v>1</v>
      </c>
      <c r="H15" s="45">
        <f>_xlfn.XLOOKUP(SSQ_Raw!H15,'SSQ Metadata'!$A$5:$A$8,'SSQ Metadata'!$B$5:$B$8)</f>
        <v>0</v>
      </c>
      <c r="I15" s="45">
        <f>_xlfn.XLOOKUP(SSQ_Raw!I15,'SSQ Metadata'!$A$5:$A$8,'SSQ Metadata'!$B$5:$B$8)</f>
        <v>0</v>
      </c>
      <c r="J15" s="45">
        <f>_xlfn.XLOOKUP(SSQ_Raw!J15,'SSQ Metadata'!$A$5:$A$8,'SSQ Metadata'!$B$5:$B$8)</f>
        <v>0</v>
      </c>
      <c r="K15" s="45">
        <f>_xlfn.XLOOKUP(SSQ_Raw!K15,'SSQ Metadata'!$A$5:$A$8,'SSQ Metadata'!$B$5:$B$8)</f>
        <v>0</v>
      </c>
      <c r="L15" s="45">
        <f>_xlfn.XLOOKUP(SSQ_Raw!L15,'SSQ Metadata'!$A$5:$A$8,'SSQ Metadata'!$B$5:$B$8)</f>
        <v>0</v>
      </c>
      <c r="M15" s="45">
        <f>_xlfn.XLOOKUP(SSQ_Raw!M15,'SSQ Metadata'!$A$5:$A$8,'SSQ Metadata'!$B$5:$B$8)</f>
        <v>0</v>
      </c>
      <c r="N15" s="45">
        <f>_xlfn.XLOOKUP(SSQ_Raw!N15,'SSQ Metadata'!$A$5:$A$8,'SSQ Metadata'!$B$5:$B$8)</f>
        <v>0</v>
      </c>
      <c r="O15" s="45">
        <f>_xlfn.XLOOKUP(SSQ_Raw!O15,'SSQ Metadata'!$A$5:$A$8,'SSQ Metadata'!$B$5:$B$8)</f>
        <v>1</v>
      </c>
      <c r="P15" s="45">
        <f>_xlfn.XLOOKUP(SSQ_Raw!P15,'SSQ Metadata'!$A$5:$A$8,'SSQ Metadata'!$B$5:$B$8)</f>
        <v>0</v>
      </c>
      <c r="Q15" s="45">
        <f>_xlfn.XLOOKUP(SSQ_Raw!Q15,'SSQ Metadata'!$A$5:$A$8,'SSQ Metadata'!$B$5:$B$8)</f>
        <v>1</v>
      </c>
      <c r="R15" s="45">
        <f>_xlfn.XLOOKUP(SSQ_Raw!R15,'SSQ Metadata'!$A$5:$A$8,'SSQ Metadata'!$B$5:$B$8)</f>
        <v>0</v>
      </c>
      <c r="S15" s="45">
        <f>_xlfn.XLOOKUP(SSQ_Raw!S15,'SSQ Metadata'!$A$5:$A$8,'SSQ Metadata'!$B$5:$B$8)</f>
        <v>1</v>
      </c>
      <c r="T15" s="45">
        <f>_xlfn.XLOOKUP(SSQ_Raw!T15,'SSQ Metadata'!$A$5:$A$8,'SSQ Metadata'!$B$5:$B$8)</f>
        <v>0</v>
      </c>
      <c r="U15" s="45">
        <f>_xlfn.XLOOKUP(SSQ_Raw!U15,'SSQ Metadata'!$A$5:$A$8,'SSQ Metadata'!$B$5:$B$8)</f>
        <v>0</v>
      </c>
      <c r="V15" s="45">
        <f>_xlfn.XLOOKUP(SSQ_Raw!V15,'SSQ Metadata'!$A$5:$A$8,'SSQ Metadata'!$B$5:$B$8)</f>
        <v>0</v>
      </c>
      <c r="W15" s="45">
        <f>_xlfn.XLOOKUP(SSQ_Raw!W15,'SSQ Metadata'!$A$5:$A$8,'SSQ Metadata'!$B$5:$B$8)</f>
        <v>1</v>
      </c>
      <c r="X15" s="45">
        <f>_xlfn.XLOOKUP(SSQ_Raw!X15,'SSQ Metadata'!$A$5:$A$8,'SSQ Metadata'!$B$5:$B$8)</f>
        <v>0</v>
      </c>
      <c r="Y15" s="45">
        <f>_xlfn.XLOOKUP(SSQ_Raw!Y15,'SSQ Metadata'!$A$5:$A$8,'SSQ Metadata'!$B$5:$B$8)</f>
        <v>0</v>
      </c>
      <c r="Z15" s="45">
        <f>_xlfn.XLOOKUP(SSQ_Raw!Z15,'SSQ Metadata'!$A$5:$A$8,'SSQ Metadata'!$B$5:$B$8)</f>
        <v>0</v>
      </c>
      <c r="AA15" s="45">
        <f>_xlfn.XLOOKUP(SSQ_Raw!AA15,'SSQ Metadata'!$A$5:$A$8,'SSQ Metadata'!$B$5:$B$8)</f>
        <v>1</v>
      </c>
      <c r="AB15" s="45">
        <f>_xlfn.XLOOKUP(SSQ_Raw!AB15,'SSQ Metadata'!$A$5:$A$8,'SSQ Metadata'!$B$5:$B$8)</f>
        <v>0</v>
      </c>
      <c r="AC15" s="45">
        <f>_xlfn.XLOOKUP(SSQ_Raw!AC15,'SSQ Metadata'!$A$5:$A$8,'SSQ Metadata'!$B$5:$B$8)</f>
        <v>0</v>
      </c>
      <c r="AD15" s="45">
        <f>_xlfn.XLOOKUP(SSQ_Raw!AD15,'SSQ Metadata'!$A$5:$A$8,'SSQ Metadata'!$B$5:$B$8)</f>
        <v>0</v>
      </c>
      <c r="AE15" s="45">
        <f>_xlfn.XLOOKUP(SSQ_Raw!AE15,'SSQ Metadata'!$A$5:$A$8,'SSQ Metadata'!$B$5:$B$8)</f>
        <v>1</v>
      </c>
      <c r="AF15" s="45">
        <f>_xlfn.XLOOKUP(SSQ_Raw!AF15,'SSQ Metadata'!$A$5:$A$8,'SSQ Metadata'!$B$5:$B$8)</f>
        <v>0</v>
      </c>
      <c r="AG15" s="51">
        <f>_xlfn.XLOOKUP(SSQ_Raw!AG15,'SSQ Metadata'!$A$5:$A$8,'SSQ Metadata'!$B$5:$B$8)</f>
        <v>1</v>
      </c>
      <c r="AH15" s="3" t="s">
        <v>51</v>
      </c>
    </row>
    <row r="16" spans="1:34" x14ac:dyDescent="0.2">
      <c r="A16" s="65">
        <v>13</v>
      </c>
      <c r="B16" s="50">
        <f>_xlfn.XLOOKUP(SSQ_Raw!B16,'SSQ Metadata'!$A$5:$A$8,'SSQ Metadata'!$B$5:$B$8)</f>
        <v>0</v>
      </c>
      <c r="C16" s="45">
        <f>_xlfn.XLOOKUP(SSQ_Raw!C16,'SSQ Metadata'!$A$5:$A$8,'SSQ Metadata'!$B$5:$B$8)</f>
        <v>2</v>
      </c>
      <c r="D16" s="45">
        <f>_xlfn.XLOOKUP(SSQ_Raw!D16,'SSQ Metadata'!$A$5:$A$8,'SSQ Metadata'!$B$5:$B$8)</f>
        <v>0</v>
      </c>
      <c r="E16" s="45">
        <f>_xlfn.XLOOKUP(SSQ_Raw!E16,'SSQ Metadata'!$A$5:$A$8,'SSQ Metadata'!$B$5:$B$8)</f>
        <v>1</v>
      </c>
      <c r="F16" s="45">
        <f>_xlfn.XLOOKUP(SSQ_Raw!F16,'SSQ Metadata'!$A$5:$A$8,'SSQ Metadata'!$B$5:$B$8)</f>
        <v>1</v>
      </c>
      <c r="G16" s="45">
        <f>_xlfn.XLOOKUP(SSQ_Raw!G16,'SSQ Metadata'!$A$5:$A$8,'SSQ Metadata'!$B$5:$B$8)</f>
        <v>0</v>
      </c>
      <c r="H16" s="45">
        <f>_xlfn.XLOOKUP(SSQ_Raw!H16,'SSQ Metadata'!$A$5:$A$8,'SSQ Metadata'!$B$5:$B$8)</f>
        <v>1</v>
      </c>
      <c r="I16" s="45">
        <f>_xlfn.XLOOKUP(SSQ_Raw!I16,'SSQ Metadata'!$A$5:$A$8,'SSQ Metadata'!$B$5:$B$8)</f>
        <v>0</v>
      </c>
      <c r="J16" s="45">
        <f>_xlfn.XLOOKUP(SSQ_Raw!J16,'SSQ Metadata'!$A$5:$A$8,'SSQ Metadata'!$B$5:$B$8)</f>
        <v>1</v>
      </c>
      <c r="K16" s="45">
        <f>_xlfn.XLOOKUP(SSQ_Raw!K16,'SSQ Metadata'!$A$5:$A$8,'SSQ Metadata'!$B$5:$B$8)</f>
        <v>0</v>
      </c>
      <c r="L16" s="45">
        <f>_xlfn.XLOOKUP(SSQ_Raw!L16,'SSQ Metadata'!$A$5:$A$8,'SSQ Metadata'!$B$5:$B$8)</f>
        <v>2</v>
      </c>
      <c r="M16" s="45">
        <f>_xlfn.XLOOKUP(SSQ_Raw!M16,'SSQ Metadata'!$A$5:$A$8,'SSQ Metadata'!$B$5:$B$8)</f>
        <v>0</v>
      </c>
      <c r="N16" s="45">
        <f>_xlfn.XLOOKUP(SSQ_Raw!N16,'SSQ Metadata'!$A$5:$A$8,'SSQ Metadata'!$B$5:$B$8)</f>
        <v>0</v>
      </c>
      <c r="O16" s="45">
        <f>_xlfn.XLOOKUP(SSQ_Raw!O16,'SSQ Metadata'!$A$5:$A$8,'SSQ Metadata'!$B$5:$B$8)</f>
        <v>0</v>
      </c>
      <c r="P16" s="45">
        <f>_xlfn.XLOOKUP(SSQ_Raw!P16,'SSQ Metadata'!$A$5:$A$8,'SSQ Metadata'!$B$5:$B$8)</f>
        <v>0</v>
      </c>
      <c r="Q16" s="45">
        <f>_xlfn.XLOOKUP(SSQ_Raw!Q16,'SSQ Metadata'!$A$5:$A$8,'SSQ Metadata'!$B$5:$B$8)</f>
        <v>0</v>
      </c>
      <c r="R16" s="45">
        <f>_xlfn.XLOOKUP(SSQ_Raw!R16,'SSQ Metadata'!$A$5:$A$8,'SSQ Metadata'!$B$5:$B$8)</f>
        <v>2</v>
      </c>
      <c r="S16" s="45">
        <f>_xlfn.XLOOKUP(SSQ_Raw!S16,'SSQ Metadata'!$A$5:$A$8,'SSQ Metadata'!$B$5:$B$8)</f>
        <v>2</v>
      </c>
      <c r="T16" s="45">
        <f>_xlfn.XLOOKUP(SSQ_Raw!T16,'SSQ Metadata'!$A$5:$A$8,'SSQ Metadata'!$B$5:$B$8)</f>
        <v>1</v>
      </c>
      <c r="U16" s="45">
        <f>_xlfn.XLOOKUP(SSQ_Raw!U16,'SSQ Metadata'!$A$5:$A$8,'SSQ Metadata'!$B$5:$B$8)</f>
        <v>3</v>
      </c>
      <c r="V16" s="45">
        <f>_xlfn.XLOOKUP(SSQ_Raw!V16,'SSQ Metadata'!$A$5:$A$8,'SSQ Metadata'!$B$5:$B$8)</f>
        <v>1</v>
      </c>
      <c r="W16" s="45">
        <f>_xlfn.XLOOKUP(SSQ_Raw!W16,'SSQ Metadata'!$A$5:$A$8,'SSQ Metadata'!$B$5:$B$8)</f>
        <v>0</v>
      </c>
      <c r="X16" s="45">
        <f>_xlfn.XLOOKUP(SSQ_Raw!X16,'SSQ Metadata'!$A$5:$A$8,'SSQ Metadata'!$B$5:$B$8)</f>
        <v>0</v>
      </c>
      <c r="Y16" s="45">
        <f>_xlfn.XLOOKUP(SSQ_Raw!Y16,'SSQ Metadata'!$A$5:$A$8,'SSQ Metadata'!$B$5:$B$8)</f>
        <v>1</v>
      </c>
      <c r="Z16" s="45">
        <f>_xlfn.XLOOKUP(SSQ_Raw!Z16,'SSQ Metadata'!$A$5:$A$8,'SSQ Metadata'!$B$5:$B$8)</f>
        <v>1</v>
      </c>
      <c r="AA16" s="45">
        <f>_xlfn.XLOOKUP(SSQ_Raw!AA16,'SSQ Metadata'!$A$5:$A$8,'SSQ Metadata'!$B$5:$B$8)</f>
        <v>2</v>
      </c>
      <c r="AB16" s="45">
        <f>_xlfn.XLOOKUP(SSQ_Raw!AB16,'SSQ Metadata'!$A$5:$A$8,'SSQ Metadata'!$B$5:$B$8)</f>
        <v>2</v>
      </c>
      <c r="AC16" s="45">
        <f>_xlfn.XLOOKUP(SSQ_Raw!AC16,'SSQ Metadata'!$A$5:$A$8,'SSQ Metadata'!$B$5:$B$8)</f>
        <v>2</v>
      </c>
      <c r="AD16" s="45">
        <f>_xlfn.XLOOKUP(SSQ_Raw!AD16,'SSQ Metadata'!$A$5:$A$8,'SSQ Metadata'!$B$5:$B$8)</f>
        <v>1</v>
      </c>
      <c r="AE16" s="45">
        <f>_xlfn.XLOOKUP(SSQ_Raw!AE16,'SSQ Metadata'!$A$5:$A$8,'SSQ Metadata'!$B$5:$B$8)</f>
        <v>0</v>
      </c>
      <c r="AF16" s="45">
        <f>_xlfn.XLOOKUP(SSQ_Raw!AF16,'SSQ Metadata'!$A$5:$A$8,'SSQ Metadata'!$B$5:$B$8)</f>
        <v>0</v>
      </c>
      <c r="AG16" s="51">
        <f>_xlfn.XLOOKUP(SSQ_Raw!AG16,'SSQ Metadata'!$A$5:$A$8,'SSQ Metadata'!$B$5:$B$8)</f>
        <v>0</v>
      </c>
      <c r="AH16" s="3" t="s">
        <v>52</v>
      </c>
    </row>
    <row r="17" spans="1:34" x14ac:dyDescent="0.2">
      <c r="A17" s="65">
        <v>14</v>
      </c>
      <c r="B17" s="50">
        <f>_xlfn.XLOOKUP(SSQ_Raw!B17,'SSQ Metadata'!$A$5:$A$8,'SSQ Metadata'!$B$5:$B$8)</f>
        <v>0</v>
      </c>
      <c r="C17" s="45">
        <f>_xlfn.XLOOKUP(SSQ_Raw!C17,'SSQ Metadata'!$A$5:$A$8,'SSQ Metadata'!$B$5:$B$8)</f>
        <v>1</v>
      </c>
      <c r="D17" s="45">
        <f>_xlfn.XLOOKUP(SSQ_Raw!D17,'SSQ Metadata'!$A$5:$A$8,'SSQ Metadata'!$B$5:$B$8)</f>
        <v>0</v>
      </c>
      <c r="E17" s="45">
        <f>_xlfn.XLOOKUP(SSQ_Raw!E17,'SSQ Metadata'!$A$5:$A$8,'SSQ Metadata'!$B$5:$B$8)</f>
        <v>1</v>
      </c>
      <c r="F17" s="45">
        <f>_xlfn.XLOOKUP(SSQ_Raw!F17,'SSQ Metadata'!$A$5:$A$8,'SSQ Metadata'!$B$5:$B$8)</f>
        <v>1</v>
      </c>
      <c r="G17" s="45">
        <f>_xlfn.XLOOKUP(SSQ_Raw!G17,'SSQ Metadata'!$A$5:$A$8,'SSQ Metadata'!$B$5:$B$8)</f>
        <v>0</v>
      </c>
      <c r="H17" s="45">
        <f>_xlfn.XLOOKUP(SSQ_Raw!H17,'SSQ Metadata'!$A$5:$A$8,'SSQ Metadata'!$B$5:$B$8)</f>
        <v>1</v>
      </c>
      <c r="I17" s="45">
        <f>_xlfn.XLOOKUP(SSQ_Raw!I17,'SSQ Metadata'!$A$5:$A$8,'SSQ Metadata'!$B$5:$B$8)</f>
        <v>0</v>
      </c>
      <c r="J17" s="45">
        <f>_xlfn.XLOOKUP(SSQ_Raw!J17,'SSQ Metadata'!$A$5:$A$8,'SSQ Metadata'!$B$5:$B$8)</f>
        <v>1</v>
      </c>
      <c r="K17" s="45">
        <f>_xlfn.XLOOKUP(SSQ_Raw!K17,'SSQ Metadata'!$A$5:$A$8,'SSQ Metadata'!$B$5:$B$8)</f>
        <v>1</v>
      </c>
      <c r="L17" s="45">
        <f>_xlfn.XLOOKUP(SSQ_Raw!L17,'SSQ Metadata'!$A$5:$A$8,'SSQ Metadata'!$B$5:$B$8)</f>
        <v>0</v>
      </c>
      <c r="M17" s="45">
        <f>_xlfn.XLOOKUP(SSQ_Raw!M17,'SSQ Metadata'!$A$5:$A$8,'SSQ Metadata'!$B$5:$B$8)</f>
        <v>0</v>
      </c>
      <c r="N17" s="45">
        <f>_xlfn.XLOOKUP(SSQ_Raw!N17,'SSQ Metadata'!$A$5:$A$8,'SSQ Metadata'!$B$5:$B$8)</f>
        <v>1</v>
      </c>
      <c r="O17" s="45">
        <f>_xlfn.XLOOKUP(SSQ_Raw!O17,'SSQ Metadata'!$A$5:$A$8,'SSQ Metadata'!$B$5:$B$8)</f>
        <v>0</v>
      </c>
      <c r="P17" s="45">
        <f>_xlfn.XLOOKUP(SSQ_Raw!P17,'SSQ Metadata'!$A$5:$A$8,'SSQ Metadata'!$B$5:$B$8)</f>
        <v>0</v>
      </c>
      <c r="Q17" s="45">
        <f>_xlfn.XLOOKUP(SSQ_Raw!Q17,'SSQ Metadata'!$A$5:$A$8,'SSQ Metadata'!$B$5:$B$8)</f>
        <v>0</v>
      </c>
      <c r="R17" s="45">
        <f>_xlfn.XLOOKUP(SSQ_Raw!R17,'SSQ Metadata'!$A$5:$A$8,'SSQ Metadata'!$B$5:$B$8)</f>
        <v>1</v>
      </c>
      <c r="S17" s="45">
        <f>_xlfn.XLOOKUP(SSQ_Raw!S17,'SSQ Metadata'!$A$5:$A$8,'SSQ Metadata'!$B$5:$B$8)</f>
        <v>1</v>
      </c>
      <c r="T17" s="45">
        <f>_xlfn.XLOOKUP(SSQ_Raw!T17,'SSQ Metadata'!$A$5:$A$8,'SSQ Metadata'!$B$5:$B$8)</f>
        <v>1</v>
      </c>
      <c r="U17" s="45">
        <f>_xlfn.XLOOKUP(SSQ_Raw!U17,'SSQ Metadata'!$A$5:$A$8,'SSQ Metadata'!$B$5:$B$8)</f>
        <v>0</v>
      </c>
      <c r="V17" s="45">
        <f>_xlfn.XLOOKUP(SSQ_Raw!V17,'SSQ Metadata'!$A$5:$A$8,'SSQ Metadata'!$B$5:$B$8)</f>
        <v>2</v>
      </c>
      <c r="W17" s="45">
        <f>_xlfn.XLOOKUP(SSQ_Raw!W17,'SSQ Metadata'!$A$5:$A$8,'SSQ Metadata'!$B$5:$B$8)</f>
        <v>0</v>
      </c>
      <c r="X17" s="45">
        <f>_xlfn.XLOOKUP(SSQ_Raw!X17,'SSQ Metadata'!$A$5:$A$8,'SSQ Metadata'!$B$5:$B$8)</f>
        <v>1</v>
      </c>
      <c r="Y17" s="45">
        <f>_xlfn.XLOOKUP(SSQ_Raw!Y17,'SSQ Metadata'!$A$5:$A$8,'SSQ Metadata'!$B$5:$B$8)</f>
        <v>1</v>
      </c>
      <c r="Z17" s="45">
        <f>_xlfn.XLOOKUP(SSQ_Raw!Z17,'SSQ Metadata'!$A$5:$A$8,'SSQ Metadata'!$B$5:$B$8)</f>
        <v>1</v>
      </c>
      <c r="AA17" s="45">
        <f>_xlfn.XLOOKUP(SSQ_Raw!AA17,'SSQ Metadata'!$A$5:$A$8,'SSQ Metadata'!$B$5:$B$8)</f>
        <v>2</v>
      </c>
      <c r="AB17" s="45">
        <f>_xlfn.XLOOKUP(SSQ_Raw!AB17,'SSQ Metadata'!$A$5:$A$8,'SSQ Metadata'!$B$5:$B$8)</f>
        <v>0</v>
      </c>
      <c r="AC17" s="45">
        <f>_xlfn.XLOOKUP(SSQ_Raw!AC17,'SSQ Metadata'!$A$5:$A$8,'SSQ Metadata'!$B$5:$B$8)</f>
        <v>0</v>
      </c>
      <c r="AD17" s="45">
        <f>_xlfn.XLOOKUP(SSQ_Raw!AD17,'SSQ Metadata'!$A$5:$A$8,'SSQ Metadata'!$B$5:$B$8)</f>
        <v>1</v>
      </c>
      <c r="AE17" s="45">
        <f>_xlfn.XLOOKUP(SSQ_Raw!AE17,'SSQ Metadata'!$A$5:$A$8,'SSQ Metadata'!$B$5:$B$8)</f>
        <v>0</v>
      </c>
      <c r="AF17" s="45">
        <f>_xlfn.XLOOKUP(SSQ_Raw!AF17,'SSQ Metadata'!$A$5:$A$8,'SSQ Metadata'!$B$5:$B$8)</f>
        <v>1</v>
      </c>
      <c r="AG17" s="51">
        <f>_xlfn.XLOOKUP(SSQ_Raw!AG17,'SSQ Metadata'!$A$5:$A$8,'SSQ Metadata'!$B$5:$B$8)</f>
        <v>0</v>
      </c>
      <c r="AH17" s="3" t="s">
        <v>53</v>
      </c>
    </row>
    <row r="18" spans="1:34" x14ac:dyDescent="0.2">
      <c r="A18" s="65">
        <v>15</v>
      </c>
      <c r="B18" s="50">
        <f>_xlfn.XLOOKUP(SSQ_Raw!B18,'SSQ Metadata'!$A$5:$A$8,'SSQ Metadata'!$B$5:$B$8)</f>
        <v>1</v>
      </c>
      <c r="C18" s="45">
        <f>_xlfn.XLOOKUP(SSQ_Raw!C18,'SSQ Metadata'!$A$5:$A$8,'SSQ Metadata'!$B$5:$B$8)</f>
        <v>0</v>
      </c>
      <c r="D18" s="45">
        <f>_xlfn.XLOOKUP(SSQ_Raw!D18,'SSQ Metadata'!$A$5:$A$8,'SSQ Metadata'!$B$5:$B$8)</f>
        <v>0</v>
      </c>
      <c r="E18" s="45">
        <f>_xlfn.XLOOKUP(SSQ_Raw!E18,'SSQ Metadata'!$A$5:$A$8,'SSQ Metadata'!$B$5:$B$8)</f>
        <v>0</v>
      </c>
      <c r="F18" s="45">
        <f>_xlfn.XLOOKUP(SSQ_Raw!F18,'SSQ Metadata'!$A$5:$A$8,'SSQ Metadata'!$B$5:$B$8)</f>
        <v>0</v>
      </c>
      <c r="G18" s="45">
        <f>_xlfn.XLOOKUP(SSQ_Raw!G18,'SSQ Metadata'!$A$5:$A$8,'SSQ Metadata'!$B$5:$B$8)</f>
        <v>0</v>
      </c>
      <c r="H18" s="45">
        <f>_xlfn.XLOOKUP(SSQ_Raw!H18,'SSQ Metadata'!$A$5:$A$8,'SSQ Metadata'!$B$5:$B$8)</f>
        <v>1</v>
      </c>
      <c r="I18" s="45">
        <f>_xlfn.XLOOKUP(SSQ_Raw!I18,'SSQ Metadata'!$A$5:$A$8,'SSQ Metadata'!$B$5:$B$8)</f>
        <v>0</v>
      </c>
      <c r="J18" s="45">
        <f>_xlfn.XLOOKUP(SSQ_Raw!J18,'SSQ Metadata'!$A$5:$A$8,'SSQ Metadata'!$B$5:$B$8)</f>
        <v>0</v>
      </c>
      <c r="K18" s="45">
        <f>_xlfn.XLOOKUP(SSQ_Raw!K18,'SSQ Metadata'!$A$5:$A$8,'SSQ Metadata'!$B$5:$B$8)</f>
        <v>0</v>
      </c>
      <c r="L18" s="45">
        <f>_xlfn.XLOOKUP(SSQ_Raw!L18,'SSQ Metadata'!$A$5:$A$8,'SSQ Metadata'!$B$5:$B$8)</f>
        <v>0</v>
      </c>
      <c r="M18" s="45">
        <f>_xlfn.XLOOKUP(SSQ_Raw!M18,'SSQ Metadata'!$A$5:$A$8,'SSQ Metadata'!$B$5:$B$8)</f>
        <v>0</v>
      </c>
      <c r="N18" s="45">
        <f>_xlfn.XLOOKUP(SSQ_Raw!N18,'SSQ Metadata'!$A$5:$A$8,'SSQ Metadata'!$B$5:$B$8)</f>
        <v>0</v>
      </c>
      <c r="O18" s="45">
        <f>_xlfn.XLOOKUP(SSQ_Raw!O18,'SSQ Metadata'!$A$5:$A$8,'SSQ Metadata'!$B$5:$B$8)</f>
        <v>0</v>
      </c>
      <c r="P18" s="45">
        <f>_xlfn.XLOOKUP(SSQ_Raw!P18,'SSQ Metadata'!$A$5:$A$8,'SSQ Metadata'!$B$5:$B$8)</f>
        <v>0</v>
      </c>
      <c r="Q18" s="45">
        <f>_xlfn.XLOOKUP(SSQ_Raw!Q18,'SSQ Metadata'!$A$5:$A$8,'SSQ Metadata'!$B$5:$B$8)</f>
        <v>0</v>
      </c>
      <c r="R18" s="45">
        <f>_xlfn.XLOOKUP(SSQ_Raw!R18,'SSQ Metadata'!$A$5:$A$8,'SSQ Metadata'!$B$5:$B$8)</f>
        <v>0</v>
      </c>
      <c r="S18" s="45">
        <f>_xlfn.XLOOKUP(SSQ_Raw!S18,'SSQ Metadata'!$A$5:$A$8,'SSQ Metadata'!$B$5:$B$8)</f>
        <v>0</v>
      </c>
      <c r="T18" s="45">
        <f>_xlfn.XLOOKUP(SSQ_Raw!T18,'SSQ Metadata'!$A$5:$A$8,'SSQ Metadata'!$B$5:$B$8)</f>
        <v>1</v>
      </c>
      <c r="U18" s="45">
        <f>_xlfn.XLOOKUP(SSQ_Raw!U18,'SSQ Metadata'!$A$5:$A$8,'SSQ Metadata'!$B$5:$B$8)</f>
        <v>1</v>
      </c>
      <c r="V18" s="45">
        <f>_xlfn.XLOOKUP(SSQ_Raw!V18,'SSQ Metadata'!$A$5:$A$8,'SSQ Metadata'!$B$5:$B$8)</f>
        <v>0</v>
      </c>
      <c r="W18" s="45">
        <f>_xlfn.XLOOKUP(SSQ_Raw!W18,'SSQ Metadata'!$A$5:$A$8,'SSQ Metadata'!$B$5:$B$8)</f>
        <v>0</v>
      </c>
      <c r="X18" s="45">
        <f>_xlfn.XLOOKUP(SSQ_Raw!X18,'SSQ Metadata'!$A$5:$A$8,'SSQ Metadata'!$B$5:$B$8)</f>
        <v>0</v>
      </c>
      <c r="Y18" s="45">
        <f>_xlfn.XLOOKUP(SSQ_Raw!Y18,'SSQ Metadata'!$A$5:$A$8,'SSQ Metadata'!$B$5:$B$8)</f>
        <v>0</v>
      </c>
      <c r="Z18" s="45">
        <f>_xlfn.XLOOKUP(SSQ_Raw!Z18,'SSQ Metadata'!$A$5:$A$8,'SSQ Metadata'!$B$5:$B$8)</f>
        <v>0</v>
      </c>
      <c r="AA18" s="45">
        <f>_xlfn.XLOOKUP(SSQ_Raw!AA18,'SSQ Metadata'!$A$5:$A$8,'SSQ Metadata'!$B$5:$B$8)</f>
        <v>0</v>
      </c>
      <c r="AB18" s="45">
        <f>_xlfn.XLOOKUP(SSQ_Raw!AB18,'SSQ Metadata'!$A$5:$A$8,'SSQ Metadata'!$B$5:$B$8)</f>
        <v>0</v>
      </c>
      <c r="AC18" s="45">
        <f>_xlfn.XLOOKUP(SSQ_Raw!AC18,'SSQ Metadata'!$A$5:$A$8,'SSQ Metadata'!$B$5:$B$8)</f>
        <v>0</v>
      </c>
      <c r="AD18" s="45">
        <f>_xlfn.XLOOKUP(SSQ_Raw!AD18,'SSQ Metadata'!$A$5:$A$8,'SSQ Metadata'!$B$5:$B$8)</f>
        <v>0</v>
      </c>
      <c r="AE18" s="45">
        <f>_xlfn.XLOOKUP(SSQ_Raw!AE18,'SSQ Metadata'!$A$5:$A$8,'SSQ Metadata'!$B$5:$B$8)</f>
        <v>0</v>
      </c>
      <c r="AF18" s="45">
        <f>_xlfn.XLOOKUP(SSQ_Raw!AF18,'SSQ Metadata'!$A$5:$A$8,'SSQ Metadata'!$B$5:$B$8)</f>
        <v>0</v>
      </c>
      <c r="AG18" s="51">
        <f>_xlfn.XLOOKUP(SSQ_Raw!AG18,'SSQ Metadata'!$A$5:$A$8,'SSQ Metadata'!$B$5:$B$8)</f>
        <v>0</v>
      </c>
      <c r="AH18" s="3" t="s">
        <v>56</v>
      </c>
    </row>
    <row r="19" spans="1:34" x14ac:dyDescent="0.2">
      <c r="A19" s="65">
        <v>16</v>
      </c>
      <c r="B19" s="50">
        <f>_xlfn.XLOOKUP(SSQ_Raw!B19,'SSQ Metadata'!$A$5:$A$8,'SSQ Metadata'!$B$5:$B$8)</f>
        <v>1</v>
      </c>
      <c r="C19" s="45">
        <f>_xlfn.XLOOKUP(SSQ_Raw!C19,'SSQ Metadata'!$A$5:$A$8,'SSQ Metadata'!$B$5:$B$8)</f>
        <v>2</v>
      </c>
      <c r="D19" s="45">
        <f>_xlfn.XLOOKUP(SSQ_Raw!D19,'SSQ Metadata'!$A$5:$A$8,'SSQ Metadata'!$B$5:$B$8)</f>
        <v>0</v>
      </c>
      <c r="E19" s="45">
        <f>_xlfn.XLOOKUP(SSQ_Raw!E19,'SSQ Metadata'!$A$5:$A$8,'SSQ Metadata'!$B$5:$B$8)</f>
        <v>0</v>
      </c>
      <c r="F19" s="45">
        <f>_xlfn.XLOOKUP(SSQ_Raw!F19,'SSQ Metadata'!$A$5:$A$8,'SSQ Metadata'!$B$5:$B$8)</f>
        <v>1</v>
      </c>
      <c r="G19" s="45">
        <f>_xlfn.XLOOKUP(SSQ_Raw!G19,'SSQ Metadata'!$A$5:$A$8,'SSQ Metadata'!$B$5:$B$8)</f>
        <v>0</v>
      </c>
      <c r="H19" s="45">
        <f>_xlfn.XLOOKUP(SSQ_Raw!H19,'SSQ Metadata'!$A$5:$A$8,'SSQ Metadata'!$B$5:$B$8)</f>
        <v>1</v>
      </c>
      <c r="I19" s="45">
        <f>_xlfn.XLOOKUP(SSQ_Raw!I19,'SSQ Metadata'!$A$5:$A$8,'SSQ Metadata'!$B$5:$B$8)</f>
        <v>0</v>
      </c>
      <c r="J19" s="45">
        <f>_xlfn.XLOOKUP(SSQ_Raw!J19,'SSQ Metadata'!$A$5:$A$8,'SSQ Metadata'!$B$5:$B$8)</f>
        <v>1</v>
      </c>
      <c r="K19" s="45">
        <f>_xlfn.XLOOKUP(SSQ_Raw!K19,'SSQ Metadata'!$A$5:$A$8,'SSQ Metadata'!$B$5:$B$8)</f>
        <v>1</v>
      </c>
      <c r="L19" s="45">
        <f>_xlfn.XLOOKUP(SSQ_Raw!L19,'SSQ Metadata'!$A$5:$A$8,'SSQ Metadata'!$B$5:$B$8)</f>
        <v>0</v>
      </c>
      <c r="M19" s="45">
        <f>_xlfn.XLOOKUP(SSQ_Raw!M19,'SSQ Metadata'!$A$5:$A$8,'SSQ Metadata'!$B$5:$B$8)</f>
        <v>0</v>
      </c>
      <c r="N19" s="45">
        <f>_xlfn.XLOOKUP(SSQ_Raw!N19,'SSQ Metadata'!$A$5:$A$8,'SSQ Metadata'!$B$5:$B$8)</f>
        <v>0</v>
      </c>
      <c r="O19" s="45">
        <f>_xlfn.XLOOKUP(SSQ_Raw!O19,'SSQ Metadata'!$A$5:$A$8,'SSQ Metadata'!$B$5:$B$8)</f>
        <v>0</v>
      </c>
      <c r="P19" s="45">
        <f>_xlfn.XLOOKUP(SSQ_Raw!P19,'SSQ Metadata'!$A$5:$A$8,'SSQ Metadata'!$B$5:$B$8)</f>
        <v>1</v>
      </c>
      <c r="Q19" s="45">
        <f>_xlfn.XLOOKUP(SSQ_Raw!Q19,'SSQ Metadata'!$A$5:$A$8,'SSQ Metadata'!$B$5:$B$8)</f>
        <v>0</v>
      </c>
      <c r="R19" s="45">
        <f>_xlfn.XLOOKUP(SSQ_Raw!R19,'SSQ Metadata'!$A$5:$A$8,'SSQ Metadata'!$B$5:$B$8)</f>
        <v>0</v>
      </c>
      <c r="S19" s="45">
        <f>_xlfn.XLOOKUP(SSQ_Raw!S19,'SSQ Metadata'!$A$5:$A$8,'SSQ Metadata'!$B$5:$B$8)</f>
        <v>2</v>
      </c>
      <c r="T19" s="45">
        <f>_xlfn.XLOOKUP(SSQ_Raw!T19,'SSQ Metadata'!$A$5:$A$8,'SSQ Metadata'!$B$5:$B$8)</f>
        <v>1</v>
      </c>
      <c r="U19" s="45">
        <f>_xlfn.XLOOKUP(SSQ_Raw!U19,'SSQ Metadata'!$A$5:$A$8,'SSQ Metadata'!$B$5:$B$8)</f>
        <v>1</v>
      </c>
      <c r="V19" s="45">
        <f>_xlfn.XLOOKUP(SSQ_Raw!V19,'SSQ Metadata'!$A$5:$A$8,'SSQ Metadata'!$B$5:$B$8)</f>
        <v>1</v>
      </c>
      <c r="W19" s="45">
        <f>_xlfn.XLOOKUP(SSQ_Raw!W19,'SSQ Metadata'!$A$5:$A$8,'SSQ Metadata'!$B$5:$B$8)</f>
        <v>0</v>
      </c>
      <c r="X19" s="45">
        <f>_xlfn.XLOOKUP(SSQ_Raw!X19,'SSQ Metadata'!$A$5:$A$8,'SSQ Metadata'!$B$5:$B$8)</f>
        <v>1</v>
      </c>
      <c r="Y19" s="45">
        <f>_xlfn.XLOOKUP(SSQ_Raw!Y19,'SSQ Metadata'!$A$5:$A$8,'SSQ Metadata'!$B$5:$B$8)</f>
        <v>0</v>
      </c>
      <c r="Z19" s="45">
        <f>_xlfn.XLOOKUP(SSQ_Raw!Z19,'SSQ Metadata'!$A$5:$A$8,'SSQ Metadata'!$B$5:$B$8)</f>
        <v>1</v>
      </c>
      <c r="AA19" s="45">
        <f>_xlfn.XLOOKUP(SSQ_Raw!AA19,'SSQ Metadata'!$A$5:$A$8,'SSQ Metadata'!$B$5:$B$8)</f>
        <v>1</v>
      </c>
      <c r="AB19" s="45">
        <f>_xlfn.XLOOKUP(SSQ_Raw!AB19,'SSQ Metadata'!$A$5:$A$8,'SSQ Metadata'!$B$5:$B$8)</f>
        <v>0</v>
      </c>
      <c r="AC19" s="45">
        <f>_xlfn.XLOOKUP(SSQ_Raw!AC19,'SSQ Metadata'!$A$5:$A$8,'SSQ Metadata'!$B$5:$B$8)</f>
        <v>0</v>
      </c>
      <c r="AD19" s="45">
        <f>_xlfn.XLOOKUP(SSQ_Raw!AD19,'SSQ Metadata'!$A$5:$A$8,'SSQ Metadata'!$B$5:$B$8)</f>
        <v>0</v>
      </c>
      <c r="AE19" s="45">
        <f>_xlfn.XLOOKUP(SSQ_Raw!AE19,'SSQ Metadata'!$A$5:$A$8,'SSQ Metadata'!$B$5:$B$8)</f>
        <v>0</v>
      </c>
      <c r="AF19" s="45">
        <f>_xlfn.XLOOKUP(SSQ_Raw!AF19,'SSQ Metadata'!$A$5:$A$8,'SSQ Metadata'!$B$5:$B$8)</f>
        <v>0</v>
      </c>
      <c r="AG19" s="51">
        <f>_xlfn.XLOOKUP(SSQ_Raw!AG19,'SSQ Metadata'!$A$5:$A$8,'SSQ Metadata'!$B$5:$B$8)</f>
        <v>0</v>
      </c>
      <c r="AH19" s="3" t="s">
        <v>57</v>
      </c>
    </row>
    <row r="20" spans="1:34" x14ac:dyDescent="0.2">
      <c r="A20" s="65">
        <v>17</v>
      </c>
      <c r="B20" s="50">
        <f>_xlfn.XLOOKUP(SSQ_Raw!B20,'SSQ Metadata'!$A$5:$A$8,'SSQ Metadata'!$B$5:$B$8)</f>
        <v>0</v>
      </c>
      <c r="C20" s="45">
        <f>_xlfn.XLOOKUP(SSQ_Raw!C20,'SSQ Metadata'!$A$5:$A$8,'SSQ Metadata'!$B$5:$B$8)</f>
        <v>1</v>
      </c>
      <c r="D20" s="45">
        <f>_xlfn.XLOOKUP(SSQ_Raw!D20,'SSQ Metadata'!$A$5:$A$8,'SSQ Metadata'!$B$5:$B$8)</f>
        <v>0</v>
      </c>
      <c r="E20" s="45">
        <f>_xlfn.XLOOKUP(SSQ_Raw!E20,'SSQ Metadata'!$A$5:$A$8,'SSQ Metadata'!$B$5:$B$8)</f>
        <v>0</v>
      </c>
      <c r="F20" s="45">
        <f>_xlfn.XLOOKUP(SSQ_Raw!F20,'SSQ Metadata'!$A$5:$A$8,'SSQ Metadata'!$B$5:$B$8)</f>
        <v>0</v>
      </c>
      <c r="G20" s="45">
        <f>_xlfn.XLOOKUP(SSQ_Raw!G20,'SSQ Metadata'!$A$5:$A$8,'SSQ Metadata'!$B$5:$B$8)</f>
        <v>0</v>
      </c>
      <c r="H20" s="45">
        <f>_xlfn.XLOOKUP(SSQ_Raw!H20,'SSQ Metadata'!$A$5:$A$8,'SSQ Metadata'!$B$5:$B$8)</f>
        <v>3</v>
      </c>
      <c r="I20" s="45">
        <f>_xlfn.XLOOKUP(SSQ_Raw!I20,'SSQ Metadata'!$A$5:$A$8,'SSQ Metadata'!$B$5:$B$8)</f>
        <v>0</v>
      </c>
      <c r="J20" s="45">
        <f>_xlfn.XLOOKUP(SSQ_Raw!J20,'SSQ Metadata'!$A$5:$A$8,'SSQ Metadata'!$B$5:$B$8)</f>
        <v>1</v>
      </c>
      <c r="K20" s="45">
        <f>_xlfn.XLOOKUP(SSQ_Raw!K20,'SSQ Metadata'!$A$5:$A$8,'SSQ Metadata'!$B$5:$B$8)</f>
        <v>0</v>
      </c>
      <c r="L20" s="45">
        <f>_xlfn.XLOOKUP(SSQ_Raw!L20,'SSQ Metadata'!$A$5:$A$8,'SSQ Metadata'!$B$5:$B$8)</f>
        <v>0</v>
      </c>
      <c r="M20" s="45">
        <f>_xlfn.XLOOKUP(SSQ_Raw!M20,'SSQ Metadata'!$A$5:$A$8,'SSQ Metadata'!$B$5:$B$8)</f>
        <v>0</v>
      </c>
      <c r="N20" s="45">
        <f>_xlfn.XLOOKUP(SSQ_Raw!N20,'SSQ Metadata'!$A$5:$A$8,'SSQ Metadata'!$B$5:$B$8)</f>
        <v>0</v>
      </c>
      <c r="O20" s="45">
        <f>_xlfn.XLOOKUP(SSQ_Raw!O20,'SSQ Metadata'!$A$5:$A$8,'SSQ Metadata'!$B$5:$B$8)</f>
        <v>0</v>
      </c>
      <c r="P20" s="45">
        <f>_xlfn.XLOOKUP(SSQ_Raw!P20,'SSQ Metadata'!$A$5:$A$8,'SSQ Metadata'!$B$5:$B$8)</f>
        <v>0</v>
      </c>
      <c r="Q20" s="45">
        <f>_xlfn.XLOOKUP(SSQ_Raw!Q20,'SSQ Metadata'!$A$5:$A$8,'SSQ Metadata'!$B$5:$B$8)</f>
        <v>0</v>
      </c>
      <c r="R20" s="45">
        <f>_xlfn.XLOOKUP(SSQ_Raw!R20,'SSQ Metadata'!$A$5:$A$8,'SSQ Metadata'!$B$5:$B$8)</f>
        <v>0</v>
      </c>
      <c r="S20" s="45">
        <f>_xlfn.XLOOKUP(SSQ_Raw!S20,'SSQ Metadata'!$A$5:$A$8,'SSQ Metadata'!$B$5:$B$8)</f>
        <v>1</v>
      </c>
      <c r="T20" s="45">
        <f>_xlfn.XLOOKUP(SSQ_Raw!T20,'SSQ Metadata'!$A$5:$A$8,'SSQ Metadata'!$B$5:$B$8)</f>
        <v>0</v>
      </c>
      <c r="U20" s="45">
        <f>_xlfn.XLOOKUP(SSQ_Raw!U20,'SSQ Metadata'!$A$5:$A$8,'SSQ Metadata'!$B$5:$B$8)</f>
        <v>0</v>
      </c>
      <c r="V20" s="45">
        <f>_xlfn.XLOOKUP(SSQ_Raw!V20,'SSQ Metadata'!$A$5:$A$8,'SSQ Metadata'!$B$5:$B$8)</f>
        <v>0</v>
      </c>
      <c r="W20" s="45">
        <f>_xlfn.XLOOKUP(SSQ_Raw!W20,'SSQ Metadata'!$A$5:$A$8,'SSQ Metadata'!$B$5:$B$8)</f>
        <v>0</v>
      </c>
      <c r="X20" s="45">
        <f>_xlfn.XLOOKUP(SSQ_Raw!X20,'SSQ Metadata'!$A$5:$A$8,'SSQ Metadata'!$B$5:$B$8)</f>
        <v>1</v>
      </c>
      <c r="Y20" s="45">
        <f>_xlfn.XLOOKUP(SSQ_Raw!Y20,'SSQ Metadata'!$A$5:$A$8,'SSQ Metadata'!$B$5:$B$8)</f>
        <v>0</v>
      </c>
      <c r="Z20" s="45">
        <f>_xlfn.XLOOKUP(SSQ_Raw!Z20,'SSQ Metadata'!$A$5:$A$8,'SSQ Metadata'!$B$5:$B$8)</f>
        <v>1</v>
      </c>
      <c r="AA20" s="45">
        <f>_xlfn.XLOOKUP(SSQ_Raw!AA20,'SSQ Metadata'!$A$5:$A$8,'SSQ Metadata'!$B$5:$B$8)</f>
        <v>0</v>
      </c>
      <c r="AB20" s="45">
        <f>_xlfn.XLOOKUP(SSQ_Raw!AB20,'SSQ Metadata'!$A$5:$A$8,'SSQ Metadata'!$B$5:$B$8)</f>
        <v>0</v>
      </c>
      <c r="AC20" s="45">
        <f>_xlfn.XLOOKUP(SSQ_Raw!AC20,'SSQ Metadata'!$A$5:$A$8,'SSQ Metadata'!$B$5:$B$8)</f>
        <v>0</v>
      </c>
      <c r="AD20" s="45">
        <f>_xlfn.XLOOKUP(SSQ_Raw!AD20,'SSQ Metadata'!$A$5:$A$8,'SSQ Metadata'!$B$5:$B$8)</f>
        <v>0</v>
      </c>
      <c r="AE20" s="45">
        <f>_xlfn.XLOOKUP(SSQ_Raw!AE20,'SSQ Metadata'!$A$5:$A$8,'SSQ Metadata'!$B$5:$B$8)</f>
        <v>0</v>
      </c>
      <c r="AF20" s="45">
        <f>_xlfn.XLOOKUP(SSQ_Raw!AF20,'SSQ Metadata'!$A$5:$A$8,'SSQ Metadata'!$B$5:$B$8)</f>
        <v>0</v>
      </c>
      <c r="AG20" s="51">
        <f>_xlfn.XLOOKUP(SSQ_Raw!AG20,'SSQ Metadata'!$A$5:$A$8,'SSQ Metadata'!$B$5:$B$8)</f>
        <v>0</v>
      </c>
      <c r="AH20" s="3" t="s">
        <v>58</v>
      </c>
    </row>
    <row r="21" spans="1:34" x14ac:dyDescent="0.2">
      <c r="A21" s="65">
        <v>18</v>
      </c>
      <c r="B21" s="50">
        <f>_xlfn.XLOOKUP(SSQ_Raw!B21,'SSQ Metadata'!$A$5:$A$8,'SSQ Metadata'!$B$5:$B$8)</f>
        <v>0</v>
      </c>
      <c r="C21" s="45">
        <f>_xlfn.XLOOKUP(SSQ_Raw!C21,'SSQ Metadata'!$A$5:$A$8,'SSQ Metadata'!$B$5:$B$8)</f>
        <v>1</v>
      </c>
      <c r="D21" s="45">
        <f>_xlfn.XLOOKUP(SSQ_Raw!D21,'SSQ Metadata'!$A$5:$A$8,'SSQ Metadata'!$B$5:$B$8)</f>
        <v>0</v>
      </c>
      <c r="E21" s="45">
        <f>_xlfn.XLOOKUP(SSQ_Raw!E21,'SSQ Metadata'!$A$5:$A$8,'SSQ Metadata'!$B$5:$B$8)</f>
        <v>0</v>
      </c>
      <c r="F21" s="45">
        <f>_xlfn.XLOOKUP(SSQ_Raw!F21,'SSQ Metadata'!$A$5:$A$8,'SSQ Metadata'!$B$5:$B$8)</f>
        <v>0</v>
      </c>
      <c r="G21" s="45">
        <f>_xlfn.XLOOKUP(SSQ_Raw!G21,'SSQ Metadata'!$A$5:$A$8,'SSQ Metadata'!$B$5:$B$8)</f>
        <v>0</v>
      </c>
      <c r="H21" s="45">
        <f>_xlfn.XLOOKUP(SSQ_Raw!H21,'SSQ Metadata'!$A$5:$A$8,'SSQ Metadata'!$B$5:$B$8)</f>
        <v>1</v>
      </c>
      <c r="I21" s="45">
        <f>_xlfn.XLOOKUP(SSQ_Raw!I21,'SSQ Metadata'!$A$5:$A$8,'SSQ Metadata'!$B$5:$B$8)</f>
        <v>0</v>
      </c>
      <c r="J21" s="45">
        <f>_xlfn.XLOOKUP(SSQ_Raw!J21,'SSQ Metadata'!$A$5:$A$8,'SSQ Metadata'!$B$5:$B$8)</f>
        <v>1</v>
      </c>
      <c r="K21" s="45">
        <f>_xlfn.XLOOKUP(SSQ_Raw!K21,'SSQ Metadata'!$A$5:$A$8,'SSQ Metadata'!$B$5:$B$8)</f>
        <v>0</v>
      </c>
      <c r="L21" s="45">
        <f>_xlfn.XLOOKUP(SSQ_Raw!L21,'SSQ Metadata'!$A$5:$A$8,'SSQ Metadata'!$B$5:$B$8)</f>
        <v>0</v>
      </c>
      <c r="M21" s="45">
        <f>_xlfn.XLOOKUP(SSQ_Raw!M21,'SSQ Metadata'!$A$5:$A$8,'SSQ Metadata'!$B$5:$B$8)</f>
        <v>0</v>
      </c>
      <c r="N21" s="45">
        <f>_xlfn.XLOOKUP(SSQ_Raw!N21,'SSQ Metadata'!$A$5:$A$8,'SSQ Metadata'!$B$5:$B$8)</f>
        <v>0</v>
      </c>
      <c r="O21" s="45">
        <f>_xlfn.XLOOKUP(SSQ_Raw!O21,'SSQ Metadata'!$A$5:$A$8,'SSQ Metadata'!$B$5:$B$8)</f>
        <v>0</v>
      </c>
      <c r="P21" s="45">
        <f>_xlfn.XLOOKUP(SSQ_Raw!P21,'SSQ Metadata'!$A$5:$A$8,'SSQ Metadata'!$B$5:$B$8)</f>
        <v>0</v>
      </c>
      <c r="Q21" s="45">
        <f>_xlfn.XLOOKUP(SSQ_Raw!Q21,'SSQ Metadata'!$A$5:$A$8,'SSQ Metadata'!$B$5:$B$8)</f>
        <v>0</v>
      </c>
      <c r="R21" s="45">
        <f>_xlfn.XLOOKUP(SSQ_Raw!R21,'SSQ Metadata'!$A$5:$A$8,'SSQ Metadata'!$B$5:$B$8)</f>
        <v>0</v>
      </c>
      <c r="S21" s="45">
        <f>_xlfn.XLOOKUP(SSQ_Raw!S21,'SSQ Metadata'!$A$5:$A$8,'SSQ Metadata'!$B$5:$B$8)</f>
        <v>0</v>
      </c>
      <c r="T21" s="45">
        <f>_xlfn.XLOOKUP(SSQ_Raw!T21,'SSQ Metadata'!$A$5:$A$8,'SSQ Metadata'!$B$5:$B$8)</f>
        <v>0</v>
      </c>
      <c r="U21" s="45">
        <f>_xlfn.XLOOKUP(SSQ_Raw!U21,'SSQ Metadata'!$A$5:$A$8,'SSQ Metadata'!$B$5:$B$8)</f>
        <v>1</v>
      </c>
      <c r="V21" s="45">
        <f>_xlfn.XLOOKUP(SSQ_Raw!V21,'SSQ Metadata'!$A$5:$A$8,'SSQ Metadata'!$B$5:$B$8)</f>
        <v>0</v>
      </c>
      <c r="W21" s="45">
        <f>_xlfn.XLOOKUP(SSQ_Raw!W21,'SSQ Metadata'!$A$5:$A$8,'SSQ Metadata'!$B$5:$B$8)</f>
        <v>0</v>
      </c>
      <c r="X21" s="45">
        <f>_xlfn.XLOOKUP(SSQ_Raw!X21,'SSQ Metadata'!$A$5:$A$8,'SSQ Metadata'!$B$5:$B$8)</f>
        <v>0</v>
      </c>
      <c r="Y21" s="45">
        <f>_xlfn.XLOOKUP(SSQ_Raw!Y21,'SSQ Metadata'!$A$5:$A$8,'SSQ Metadata'!$B$5:$B$8)</f>
        <v>0</v>
      </c>
      <c r="Z21" s="45">
        <f>_xlfn.XLOOKUP(SSQ_Raw!Z21,'SSQ Metadata'!$A$5:$A$8,'SSQ Metadata'!$B$5:$B$8)</f>
        <v>0</v>
      </c>
      <c r="AA21" s="45">
        <f>_xlfn.XLOOKUP(SSQ_Raw!AA21,'SSQ Metadata'!$A$5:$A$8,'SSQ Metadata'!$B$5:$B$8)</f>
        <v>1</v>
      </c>
      <c r="AB21" s="45">
        <f>_xlfn.XLOOKUP(SSQ_Raw!AB21,'SSQ Metadata'!$A$5:$A$8,'SSQ Metadata'!$B$5:$B$8)</f>
        <v>1</v>
      </c>
      <c r="AC21" s="45">
        <f>_xlfn.XLOOKUP(SSQ_Raw!AC21,'SSQ Metadata'!$A$5:$A$8,'SSQ Metadata'!$B$5:$B$8)</f>
        <v>0</v>
      </c>
      <c r="AD21" s="45">
        <f>_xlfn.XLOOKUP(SSQ_Raw!AD21,'SSQ Metadata'!$A$5:$A$8,'SSQ Metadata'!$B$5:$B$8)</f>
        <v>0</v>
      </c>
      <c r="AE21" s="45">
        <f>_xlfn.XLOOKUP(SSQ_Raw!AE21,'SSQ Metadata'!$A$5:$A$8,'SSQ Metadata'!$B$5:$B$8)</f>
        <v>0</v>
      </c>
      <c r="AF21" s="45">
        <f>_xlfn.XLOOKUP(SSQ_Raw!AF21,'SSQ Metadata'!$A$5:$A$8,'SSQ Metadata'!$B$5:$B$8)</f>
        <v>0</v>
      </c>
      <c r="AG21" s="51">
        <f>_xlfn.XLOOKUP(SSQ_Raw!AG21,'SSQ Metadata'!$A$5:$A$8,'SSQ Metadata'!$B$5:$B$8)</f>
        <v>0</v>
      </c>
      <c r="AH21" s="3" t="s">
        <v>59</v>
      </c>
    </row>
    <row r="22" spans="1:34" x14ac:dyDescent="0.2">
      <c r="A22" s="65">
        <v>19</v>
      </c>
      <c r="B22" s="50">
        <f>_xlfn.XLOOKUP(SSQ_Raw!B22,'SSQ Metadata'!$A$5:$A$8,'SSQ Metadata'!$B$5:$B$8)</f>
        <v>1</v>
      </c>
      <c r="C22" s="45">
        <f>_xlfn.XLOOKUP(SSQ_Raw!C22,'SSQ Metadata'!$A$5:$A$8,'SSQ Metadata'!$B$5:$B$8)</f>
        <v>0</v>
      </c>
      <c r="D22" s="45">
        <f>_xlfn.XLOOKUP(SSQ_Raw!D22,'SSQ Metadata'!$A$5:$A$8,'SSQ Metadata'!$B$5:$B$8)</f>
        <v>0</v>
      </c>
      <c r="E22" s="45">
        <f>_xlfn.XLOOKUP(SSQ_Raw!E22,'SSQ Metadata'!$A$5:$A$8,'SSQ Metadata'!$B$5:$B$8)</f>
        <v>0</v>
      </c>
      <c r="F22" s="45">
        <f>_xlfn.XLOOKUP(SSQ_Raw!F22,'SSQ Metadata'!$A$5:$A$8,'SSQ Metadata'!$B$5:$B$8)</f>
        <v>1</v>
      </c>
      <c r="G22" s="45">
        <f>_xlfn.XLOOKUP(SSQ_Raw!G22,'SSQ Metadata'!$A$5:$A$8,'SSQ Metadata'!$B$5:$B$8)</f>
        <v>0</v>
      </c>
      <c r="H22" s="45">
        <f>_xlfn.XLOOKUP(SSQ_Raw!H22,'SSQ Metadata'!$A$5:$A$8,'SSQ Metadata'!$B$5:$B$8)</f>
        <v>0</v>
      </c>
      <c r="I22" s="45">
        <f>_xlfn.XLOOKUP(SSQ_Raw!I22,'SSQ Metadata'!$A$5:$A$8,'SSQ Metadata'!$B$5:$B$8)</f>
        <v>0</v>
      </c>
      <c r="J22" s="45">
        <f>_xlfn.XLOOKUP(SSQ_Raw!J22,'SSQ Metadata'!$A$5:$A$8,'SSQ Metadata'!$B$5:$B$8)</f>
        <v>1</v>
      </c>
      <c r="K22" s="45">
        <f>_xlfn.XLOOKUP(SSQ_Raw!K22,'SSQ Metadata'!$A$5:$A$8,'SSQ Metadata'!$B$5:$B$8)</f>
        <v>0</v>
      </c>
      <c r="L22" s="45">
        <f>_xlfn.XLOOKUP(SSQ_Raw!L22,'SSQ Metadata'!$A$5:$A$8,'SSQ Metadata'!$B$5:$B$8)</f>
        <v>0</v>
      </c>
      <c r="M22" s="45">
        <f>_xlfn.XLOOKUP(SSQ_Raw!M22,'SSQ Metadata'!$A$5:$A$8,'SSQ Metadata'!$B$5:$B$8)</f>
        <v>0</v>
      </c>
      <c r="N22" s="45">
        <f>_xlfn.XLOOKUP(SSQ_Raw!N22,'SSQ Metadata'!$A$5:$A$8,'SSQ Metadata'!$B$5:$B$8)</f>
        <v>0</v>
      </c>
      <c r="O22" s="45">
        <f>_xlfn.XLOOKUP(SSQ_Raw!O22,'SSQ Metadata'!$A$5:$A$8,'SSQ Metadata'!$B$5:$B$8)</f>
        <v>0</v>
      </c>
      <c r="P22" s="45">
        <f>_xlfn.XLOOKUP(SSQ_Raw!P22,'SSQ Metadata'!$A$5:$A$8,'SSQ Metadata'!$B$5:$B$8)</f>
        <v>0</v>
      </c>
      <c r="Q22" s="45">
        <f>_xlfn.XLOOKUP(SSQ_Raw!Q22,'SSQ Metadata'!$A$5:$A$8,'SSQ Metadata'!$B$5:$B$8)</f>
        <v>0</v>
      </c>
      <c r="R22" s="45">
        <f>_xlfn.XLOOKUP(SSQ_Raw!R22,'SSQ Metadata'!$A$5:$A$8,'SSQ Metadata'!$B$5:$B$8)</f>
        <v>0</v>
      </c>
      <c r="S22" s="45">
        <f>_xlfn.XLOOKUP(SSQ_Raw!S22,'SSQ Metadata'!$A$5:$A$8,'SSQ Metadata'!$B$5:$B$8)</f>
        <v>1</v>
      </c>
      <c r="T22" s="45">
        <f>_xlfn.XLOOKUP(SSQ_Raw!T22,'SSQ Metadata'!$A$5:$A$8,'SSQ Metadata'!$B$5:$B$8)</f>
        <v>1</v>
      </c>
      <c r="U22" s="45">
        <f>_xlfn.XLOOKUP(SSQ_Raw!U22,'SSQ Metadata'!$A$5:$A$8,'SSQ Metadata'!$B$5:$B$8)</f>
        <v>1</v>
      </c>
      <c r="V22" s="45">
        <f>_xlfn.XLOOKUP(SSQ_Raw!V22,'SSQ Metadata'!$A$5:$A$8,'SSQ Metadata'!$B$5:$B$8)</f>
        <v>1</v>
      </c>
      <c r="W22" s="45">
        <f>_xlfn.XLOOKUP(SSQ_Raw!W22,'SSQ Metadata'!$A$5:$A$8,'SSQ Metadata'!$B$5:$B$8)</f>
        <v>0</v>
      </c>
      <c r="X22" s="45">
        <f>_xlfn.XLOOKUP(SSQ_Raw!X22,'SSQ Metadata'!$A$5:$A$8,'SSQ Metadata'!$B$5:$B$8)</f>
        <v>0</v>
      </c>
      <c r="Y22" s="45">
        <f>_xlfn.XLOOKUP(SSQ_Raw!Y22,'SSQ Metadata'!$A$5:$A$8,'SSQ Metadata'!$B$5:$B$8)</f>
        <v>2</v>
      </c>
      <c r="Z22" s="45">
        <f>_xlfn.XLOOKUP(SSQ_Raw!Z22,'SSQ Metadata'!$A$5:$A$8,'SSQ Metadata'!$B$5:$B$8)</f>
        <v>1</v>
      </c>
      <c r="AA22" s="45">
        <f>_xlfn.XLOOKUP(SSQ_Raw!AA22,'SSQ Metadata'!$A$5:$A$8,'SSQ Metadata'!$B$5:$B$8)</f>
        <v>0</v>
      </c>
      <c r="AB22" s="45">
        <f>_xlfn.XLOOKUP(SSQ_Raw!AB22,'SSQ Metadata'!$A$5:$A$8,'SSQ Metadata'!$B$5:$B$8)</f>
        <v>0</v>
      </c>
      <c r="AC22" s="45">
        <f>_xlfn.XLOOKUP(SSQ_Raw!AC22,'SSQ Metadata'!$A$5:$A$8,'SSQ Metadata'!$B$5:$B$8)</f>
        <v>0</v>
      </c>
      <c r="AD22" s="45">
        <f>_xlfn.XLOOKUP(SSQ_Raw!AD22,'SSQ Metadata'!$A$5:$A$8,'SSQ Metadata'!$B$5:$B$8)</f>
        <v>0</v>
      </c>
      <c r="AE22" s="45">
        <f>_xlfn.XLOOKUP(SSQ_Raw!AE22,'SSQ Metadata'!$A$5:$A$8,'SSQ Metadata'!$B$5:$B$8)</f>
        <v>0</v>
      </c>
      <c r="AF22" s="45">
        <f>_xlfn.XLOOKUP(SSQ_Raw!AF22,'SSQ Metadata'!$A$5:$A$8,'SSQ Metadata'!$B$5:$B$8)</f>
        <v>0</v>
      </c>
      <c r="AG22" s="51">
        <f>_xlfn.XLOOKUP(SSQ_Raw!AG22,'SSQ Metadata'!$A$5:$A$8,'SSQ Metadata'!$B$5:$B$8)</f>
        <v>0</v>
      </c>
      <c r="AH22" s="3" t="s">
        <v>60</v>
      </c>
    </row>
    <row r="23" spans="1:34" x14ac:dyDescent="0.2">
      <c r="A23" s="65">
        <v>20</v>
      </c>
      <c r="B23" s="50">
        <f>_xlfn.XLOOKUP(SSQ_Raw!B23,'SSQ Metadata'!$A$5:$A$8,'SSQ Metadata'!$B$5:$B$8)</f>
        <v>0</v>
      </c>
      <c r="C23" s="45">
        <f>_xlfn.XLOOKUP(SSQ_Raw!C23,'SSQ Metadata'!$A$5:$A$8,'SSQ Metadata'!$B$5:$B$8)</f>
        <v>1</v>
      </c>
      <c r="D23" s="45">
        <f>_xlfn.XLOOKUP(SSQ_Raw!D23,'SSQ Metadata'!$A$5:$A$8,'SSQ Metadata'!$B$5:$B$8)</f>
        <v>0</v>
      </c>
      <c r="E23" s="45">
        <f>_xlfn.XLOOKUP(SSQ_Raw!E23,'SSQ Metadata'!$A$5:$A$8,'SSQ Metadata'!$B$5:$B$8)</f>
        <v>0</v>
      </c>
      <c r="F23" s="45">
        <f>_xlfn.XLOOKUP(SSQ_Raw!F23,'SSQ Metadata'!$A$5:$A$8,'SSQ Metadata'!$B$5:$B$8)</f>
        <v>0</v>
      </c>
      <c r="G23" s="45">
        <f>_xlfn.XLOOKUP(SSQ_Raw!G23,'SSQ Metadata'!$A$5:$A$8,'SSQ Metadata'!$B$5:$B$8)</f>
        <v>0</v>
      </c>
      <c r="H23" s="45">
        <f>_xlfn.XLOOKUP(SSQ_Raw!H23,'SSQ Metadata'!$A$5:$A$8,'SSQ Metadata'!$B$5:$B$8)</f>
        <v>0</v>
      </c>
      <c r="I23" s="45">
        <f>_xlfn.XLOOKUP(SSQ_Raw!I23,'SSQ Metadata'!$A$5:$A$8,'SSQ Metadata'!$B$5:$B$8)</f>
        <v>0</v>
      </c>
      <c r="J23" s="45">
        <f>_xlfn.XLOOKUP(SSQ_Raw!J23,'SSQ Metadata'!$A$5:$A$8,'SSQ Metadata'!$B$5:$B$8)</f>
        <v>0</v>
      </c>
      <c r="K23" s="45">
        <f>_xlfn.XLOOKUP(SSQ_Raw!K23,'SSQ Metadata'!$A$5:$A$8,'SSQ Metadata'!$B$5:$B$8)</f>
        <v>0</v>
      </c>
      <c r="L23" s="45">
        <f>_xlfn.XLOOKUP(SSQ_Raw!L23,'SSQ Metadata'!$A$5:$A$8,'SSQ Metadata'!$B$5:$B$8)</f>
        <v>0</v>
      </c>
      <c r="M23" s="45">
        <f>_xlfn.XLOOKUP(SSQ_Raw!M23,'SSQ Metadata'!$A$5:$A$8,'SSQ Metadata'!$B$5:$B$8)</f>
        <v>0</v>
      </c>
      <c r="N23" s="45">
        <f>_xlfn.XLOOKUP(SSQ_Raw!N23,'SSQ Metadata'!$A$5:$A$8,'SSQ Metadata'!$B$5:$B$8)</f>
        <v>0</v>
      </c>
      <c r="O23" s="45">
        <f>_xlfn.XLOOKUP(SSQ_Raw!O23,'SSQ Metadata'!$A$5:$A$8,'SSQ Metadata'!$B$5:$B$8)</f>
        <v>0</v>
      </c>
      <c r="P23" s="45">
        <f>_xlfn.XLOOKUP(SSQ_Raw!P23,'SSQ Metadata'!$A$5:$A$8,'SSQ Metadata'!$B$5:$B$8)</f>
        <v>0</v>
      </c>
      <c r="Q23" s="45">
        <f>_xlfn.XLOOKUP(SSQ_Raw!Q23,'SSQ Metadata'!$A$5:$A$8,'SSQ Metadata'!$B$5:$B$8)</f>
        <v>0</v>
      </c>
      <c r="R23" s="45">
        <f>_xlfn.XLOOKUP(SSQ_Raw!R23,'SSQ Metadata'!$A$5:$A$8,'SSQ Metadata'!$B$5:$B$8)</f>
        <v>0</v>
      </c>
      <c r="S23" s="45">
        <f>_xlfn.XLOOKUP(SSQ_Raw!S23,'SSQ Metadata'!$A$5:$A$8,'SSQ Metadata'!$B$5:$B$8)</f>
        <v>1</v>
      </c>
      <c r="T23" s="45">
        <f>_xlfn.XLOOKUP(SSQ_Raw!T23,'SSQ Metadata'!$A$5:$A$8,'SSQ Metadata'!$B$5:$B$8)</f>
        <v>0</v>
      </c>
      <c r="U23" s="45">
        <f>_xlfn.XLOOKUP(SSQ_Raw!U23,'SSQ Metadata'!$A$5:$A$8,'SSQ Metadata'!$B$5:$B$8)</f>
        <v>0</v>
      </c>
      <c r="V23" s="45">
        <f>_xlfn.XLOOKUP(SSQ_Raw!V23,'SSQ Metadata'!$A$5:$A$8,'SSQ Metadata'!$B$5:$B$8)</f>
        <v>0</v>
      </c>
      <c r="W23" s="45">
        <f>_xlfn.XLOOKUP(SSQ_Raw!W23,'SSQ Metadata'!$A$5:$A$8,'SSQ Metadata'!$B$5:$B$8)</f>
        <v>0</v>
      </c>
      <c r="X23" s="45">
        <f>_xlfn.XLOOKUP(SSQ_Raw!X23,'SSQ Metadata'!$A$5:$A$8,'SSQ Metadata'!$B$5:$B$8)</f>
        <v>0</v>
      </c>
      <c r="Y23" s="45">
        <f>_xlfn.XLOOKUP(SSQ_Raw!Y23,'SSQ Metadata'!$A$5:$A$8,'SSQ Metadata'!$B$5:$B$8)</f>
        <v>1</v>
      </c>
      <c r="Z23" s="45">
        <f>_xlfn.XLOOKUP(SSQ_Raw!Z23,'SSQ Metadata'!$A$5:$A$8,'SSQ Metadata'!$B$5:$B$8)</f>
        <v>0</v>
      </c>
      <c r="AA23" s="45">
        <f>_xlfn.XLOOKUP(SSQ_Raw!AA23,'SSQ Metadata'!$A$5:$A$8,'SSQ Metadata'!$B$5:$B$8)</f>
        <v>1</v>
      </c>
      <c r="AB23" s="45">
        <f>_xlfn.XLOOKUP(SSQ_Raw!AB23,'SSQ Metadata'!$A$5:$A$8,'SSQ Metadata'!$B$5:$B$8)</f>
        <v>0</v>
      </c>
      <c r="AC23" s="45">
        <f>_xlfn.XLOOKUP(SSQ_Raw!AC23,'SSQ Metadata'!$A$5:$A$8,'SSQ Metadata'!$B$5:$B$8)</f>
        <v>0</v>
      </c>
      <c r="AD23" s="45">
        <f>_xlfn.XLOOKUP(SSQ_Raw!AD23,'SSQ Metadata'!$A$5:$A$8,'SSQ Metadata'!$B$5:$B$8)</f>
        <v>0</v>
      </c>
      <c r="AE23" s="45">
        <f>_xlfn.XLOOKUP(SSQ_Raw!AE23,'SSQ Metadata'!$A$5:$A$8,'SSQ Metadata'!$B$5:$B$8)</f>
        <v>0</v>
      </c>
      <c r="AF23" s="45">
        <f>_xlfn.XLOOKUP(SSQ_Raw!AF23,'SSQ Metadata'!$A$5:$A$8,'SSQ Metadata'!$B$5:$B$8)</f>
        <v>1</v>
      </c>
      <c r="AG23" s="51">
        <f>_xlfn.XLOOKUP(SSQ_Raw!AG23,'SSQ Metadata'!$A$5:$A$8,'SSQ Metadata'!$B$5:$B$8)</f>
        <v>0</v>
      </c>
      <c r="AH23" s="3" t="s">
        <v>67</v>
      </c>
    </row>
    <row r="24" spans="1:34" x14ac:dyDescent="0.2">
      <c r="A24" s="65">
        <v>21</v>
      </c>
      <c r="B24" s="50">
        <f>_xlfn.XLOOKUP(SSQ_Raw!B24,'SSQ Metadata'!$A$5:$A$8,'SSQ Metadata'!$B$5:$B$8)</f>
        <v>0</v>
      </c>
      <c r="C24" s="45">
        <f>_xlfn.XLOOKUP(SSQ_Raw!C24,'SSQ Metadata'!$A$5:$A$8,'SSQ Metadata'!$B$5:$B$8)</f>
        <v>0</v>
      </c>
      <c r="D24" s="45">
        <f>_xlfn.XLOOKUP(SSQ_Raw!D24,'SSQ Metadata'!$A$5:$A$8,'SSQ Metadata'!$B$5:$B$8)</f>
        <v>0</v>
      </c>
      <c r="E24" s="45">
        <f>_xlfn.XLOOKUP(SSQ_Raw!E24,'SSQ Metadata'!$A$5:$A$8,'SSQ Metadata'!$B$5:$B$8)</f>
        <v>0</v>
      </c>
      <c r="F24" s="45">
        <f>_xlfn.XLOOKUP(SSQ_Raw!F24,'SSQ Metadata'!$A$5:$A$8,'SSQ Metadata'!$B$5:$B$8)</f>
        <v>0</v>
      </c>
      <c r="G24" s="45">
        <f>_xlfn.XLOOKUP(SSQ_Raw!G24,'SSQ Metadata'!$A$5:$A$8,'SSQ Metadata'!$B$5:$B$8)</f>
        <v>0</v>
      </c>
      <c r="H24" s="45">
        <f>_xlfn.XLOOKUP(SSQ_Raw!H24,'SSQ Metadata'!$A$5:$A$8,'SSQ Metadata'!$B$5:$B$8)</f>
        <v>0</v>
      </c>
      <c r="I24" s="45">
        <f>_xlfn.XLOOKUP(SSQ_Raw!I24,'SSQ Metadata'!$A$5:$A$8,'SSQ Metadata'!$B$5:$B$8)</f>
        <v>0</v>
      </c>
      <c r="J24" s="45">
        <f>_xlfn.XLOOKUP(SSQ_Raw!J24,'SSQ Metadata'!$A$5:$A$8,'SSQ Metadata'!$B$5:$B$8)</f>
        <v>0</v>
      </c>
      <c r="K24" s="45">
        <f>_xlfn.XLOOKUP(SSQ_Raw!K24,'SSQ Metadata'!$A$5:$A$8,'SSQ Metadata'!$B$5:$B$8)</f>
        <v>0</v>
      </c>
      <c r="L24" s="45">
        <f>_xlfn.XLOOKUP(SSQ_Raw!L24,'SSQ Metadata'!$A$5:$A$8,'SSQ Metadata'!$B$5:$B$8)</f>
        <v>0</v>
      </c>
      <c r="M24" s="45">
        <f>_xlfn.XLOOKUP(SSQ_Raw!M24,'SSQ Metadata'!$A$5:$A$8,'SSQ Metadata'!$B$5:$B$8)</f>
        <v>0</v>
      </c>
      <c r="N24" s="45">
        <f>_xlfn.XLOOKUP(SSQ_Raw!N24,'SSQ Metadata'!$A$5:$A$8,'SSQ Metadata'!$B$5:$B$8)</f>
        <v>0</v>
      </c>
      <c r="O24" s="45">
        <f>_xlfn.XLOOKUP(SSQ_Raw!O24,'SSQ Metadata'!$A$5:$A$8,'SSQ Metadata'!$B$5:$B$8)</f>
        <v>0</v>
      </c>
      <c r="P24" s="45">
        <f>_xlfn.XLOOKUP(SSQ_Raw!P24,'SSQ Metadata'!$A$5:$A$8,'SSQ Metadata'!$B$5:$B$8)</f>
        <v>0</v>
      </c>
      <c r="Q24" s="45">
        <f>_xlfn.XLOOKUP(SSQ_Raw!Q24,'SSQ Metadata'!$A$5:$A$8,'SSQ Metadata'!$B$5:$B$8)</f>
        <v>0</v>
      </c>
      <c r="R24" s="45">
        <f>_xlfn.XLOOKUP(SSQ_Raw!R24,'SSQ Metadata'!$A$5:$A$8,'SSQ Metadata'!$B$5:$B$8)</f>
        <v>0</v>
      </c>
      <c r="S24" s="45">
        <f>_xlfn.XLOOKUP(SSQ_Raw!S24,'SSQ Metadata'!$A$5:$A$8,'SSQ Metadata'!$B$5:$B$8)</f>
        <v>0</v>
      </c>
      <c r="T24" s="45">
        <f>_xlfn.XLOOKUP(SSQ_Raw!T24,'SSQ Metadata'!$A$5:$A$8,'SSQ Metadata'!$B$5:$B$8)</f>
        <v>0</v>
      </c>
      <c r="U24" s="45">
        <f>_xlfn.XLOOKUP(SSQ_Raw!U24,'SSQ Metadata'!$A$5:$A$8,'SSQ Metadata'!$B$5:$B$8)</f>
        <v>1</v>
      </c>
      <c r="V24" s="45">
        <f>_xlfn.XLOOKUP(SSQ_Raw!V24,'SSQ Metadata'!$A$5:$A$8,'SSQ Metadata'!$B$5:$B$8)</f>
        <v>0</v>
      </c>
      <c r="W24" s="45">
        <f>_xlfn.XLOOKUP(SSQ_Raw!W24,'SSQ Metadata'!$A$5:$A$8,'SSQ Metadata'!$B$5:$B$8)</f>
        <v>0</v>
      </c>
      <c r="X24" s="45">
        <f>_xlfn.XLOOKUP(SSQ_Raw!X24,'SSQ Metadata'!$A$5:$A$8,'SSQ Metadata'!$B$5:$B$8)</f>
        <v>0</v>
      </c>
      <c r="Y24" s="45">
        <f>_xlfn.XLOOKUP(SSQ_Raw!Y24,'SSQ Metadata'!$A$5:$A$8,'SSQ Metadata'!$B$5:$B$8)</f>
        <v>0</v>
      </c>
      <c r="Z24" s="45">
        <f>_xlfn.XLOOKUP(SSQ_Raw!Z24,'SSQ Metadata'!$A$5:$A$8,'SSQ Metadata'!$B$5:$B$8)</f>
        <v>0</v>
      </c>
      <c r="AA24" s="45">
        <f>_xlfn.XLOOKUP(SSQ_Raw!AA24,'SSQ Metadata'!$A$5:$A$8,'SSQ Metadata'!$B$5:$B$8)</f>
        <v>1</v>
      </c>
      <c r="AB24" s="45">
        <f>_xlfn.XLOOKUP(SSQ_Raw!AB24,'SSQ Metadata'!$A$5:$A$8,'SSQ Metadata'!$B$5:$B$8)</f>
        <v>0</v>
      </c>
      <c r="AC24" s="45">
        <f>_xlfn.XLOOKUP(SSQ_Raw!AC24,'SSQ Metadata'!$A$5:$A$8,'SSQ Metadata'!$B$5:$B$8)</f>
        <v>0</v>
      </c>
      <c r="AD24" s="45">
        <f>_xlfn.XLOOKUP(SSQ_Raw!AD24,'SSQ Metadata'!$A$5:$A$8,'SSQ Metadata'!$B$5:$B$8)</f>
        <v>0</v>
      </c>
      <c r="AE24" s="45">
        <f>_xlfn.XLOOKUP(SSQ_Raw!AE24,'SSQ Metadata'!$A$5:$A$8,'SSQ Metadata'!$B$5:$B$8)</f>
        <v>0</v>
      </c>
      <c r="AF24" s="45">
        <f>_xlfn.XLOOKUP(SSQ_Raw!AF24,'SSQ Metadata'!$A$5:$A$8,'SSQ Metadata'!$B$5:$B$8)</f>
        <v>0</v>
      </c>
      <c r="AG24" s="51">
        <f>_xlfn.XLOOKUP(SSQ_Raw!AG24,'SSQ Metadata'!$A$5:$A$8,'SSQ Metadata'!$B$5:$B$8)</f>
        <v>0</v>
      </c>
      <c r="AH24" s="3" t="s">
        <v>68</v>
      </c>
    </row>
    <row r="25" spans="1:34" x14ac:dyDescent="0.2">
      <c r="A25" s="65">
        <v>22</v>
      </c>
      <c r="B25" s="50">
        <f>_xlfn.XLOOKUP(SSQ_Raw!B25,'SSQ Metadata'!$A$5:$A$8,'SSQ Metadata'!$B$5:$B$8)</f>
        <v>1</v>
      </c>
      <c r="C25" s="45">
        <f>_xlfn.XLOOKUP(SSQ_Raw!C25,'SSQ Metadata'!$A$5:$A$8,'SSQ Metadata'!$B$5:$B$8)</f>
        <v>1</v>
      </c>
      <c r="D25" s="45">
        <f>_xlfn.XLOOKUP(SSQ_Raw!D25,'SSQ Metadata'!$A$5:$A$8,'SSQ Metadata'!$B$5:$B$8)</f>
        <v>1</v>
      </c>
      <c r="E25" s="45">
        <f>_xlfn.XLOOKUP(SSQ_Raw!E25,'SSQ Metadata'!$A$5:$A$8,'SSQ Metadata'!$B$5:$B$8)</f>
        <v>0</v>
      </c>
      <c r="F25" s="45">
        <f>_xlfn.XLOOKUP(SSQ_Raw!F25,'SSQ Metadata'!$A$5:$A$8,'SSQ Metadata'!$B$5:$B$8)</f>
        <v>0</v>
      </c>
      <c r="G25" s="45">
        <f>_xlfn.XLOOKUP(SSQ_Raw!G25,'SSQ Metadata'!$A$5:$A$8,'SSQ Metadata'!$B$5:$B$8)</f>
        <v>0</v>
      </c>
      <c r="H25" s="45">
        <f>_xlfn.XLOOKUP(SSQ_Raw!H25,'SSQ Metadata'!$A$5:$A$8,'SSQ Metadata'!$B$5:$B$8)</f>
        <v>1</v>
      </c>
      <c r="I25" s="45">
        <f>_xlfn.XLOOKUP(SSQ_Raw!I25,'SSQ Metadata'!$A$5:$A$8,'SSQ Metadata'!$B$5:$B$8)</f>
        <v>0</v>
      </c>
      <c r="J25" s="45">
        <f>_xlfn.XLOOKUP(SSQ_Raw!J25,'SSQ Metadata'!$A$5:$A$8,'SSQ Metadata'!$B$5:$B$8)</f>
        <v>0</v>
      </c>
      <c r="K25" s="45">
        <f>_xlfn.XLOOKUP(SSQ_Raw!K25,'SSQ Metadata'!$A$5:$A$8,'SSQ Metadata'!$B$5:$B$8)</f>
        <v>1</v>
      </c>
      <c r="L25" s="45">
        <f>_xlfn.XLOOKUP(SSQ_Raw!L25,'SSQ Metadata'!$A$5:$A$8,'SSQ Metadata'!$B$5:$B$8)</f>
        <v>0</v>
      </c>
      <c r="M25" s="45">
        <f>_xlfn.XLOOKUP(SSQ_Raw!M25,'SSQ Metadata'!$A$5:$A$8,'SSQ Metadata'!$B$5:$B$8)</f>
        <v>0</v>
      </c>
      <c r="N25" s="45">
        <f>_xlfn.XLOOKUP(SSQ_Raw!N25,'SSQ Metadata'!$A$5:$A$8,'SSQ Metadata'!$B$5:$B$8)</f>
        <v>0</v>
      </c>
      <c r="O25" s="45">
        <f>_xlfn.XLOOKUP(SSQ_Raw!O25,'SSQ Metadata'!$A$5:$A$8,'SSQ Metadata'!$B$5:$B$8)</f>
        <v>0</v>
      </c>
      <c r="P25" s="45">
        <f>_xlfn.XLOOKUP(SSQ_Raw!P25,'SSQ Metadata'!$A$5:$A$8,'SSQ Metadata'!$B$5:$B$8)</f>
        <v>0</v>
      </c>
      <c r="Q25" s="45">
        <f>_xlfn.XLOOKUP(SSQ_Raw!Q25,'SSQ Metadata'!$A$5:$A$8,'SSQ Metadata'!$B$5:$B$8)</f>
        <v>0</v>
      </c>
      <c r="R25" s="45">
        <f>_xlfn.XLOOKUP(SSQ_Raw!R25,'SSQ Metadata'!$A$5:$A$8,'SSQ Metadata'!$B$5:$B$8)</f>
        <v>1</v>
      </c>
      <c r="S25" s="45">
        <f>_xlfn.XLOOKUP(SSQ_Raw!S25,'SSQ Metadata'!$A$5:$A$8,'SSQ Metadata'!$B$5:$B$8)</f>
        <v>0</v>
      </c>
      <c r="T25" s="45">
        <f>_xlfn.XLOOKUP(SSQ_Raw!T25,'SSQ Metadata'!$A$5:$A$8,'SSQ Metadata'!$B$5:$B$8)</f>
        <v>2</v>
      </c>
      <c r="U25" s="45">
        <f>_xlfn.XLOOKUP(SSQ_Raw!U25,'SSQ Metadata'!$A$5:$A$8,'SSQ Metadata'!$B$5:$B$8)</f>
        <v>0</v>
      </c>
      <c r="V25" s="45">
        <f>_xlfn.XLOOKUP(SSQ_Raw!V25,'SSQ Metadata'!$A$5:$A$8,'SSQ Metadata'!$B$5:$B$8)</f>
        <v>0</v>
      </c>
      <c r="W25" s="45">
        <f>_xlfn.XLOOKUP(SSQ_Raw!W25,'SSQ Metadata'!$A$5:$A$8,'SSQ Metadata'!$B$5:$B$8)</f>
        <v>0</v>
      </c>
      <c r="X25" s="45">
        <f>_xlfn.XLOOKUP(SSQ_Raw!X25,'SSQ Metadata'!$A$5:$A$8,'SSQ Metadata'!$B$5:$B$8)</f>
        <v>1</v>
      </c>
      <c r="Y25" s="45">
        <f>_xlfn.XLOOKUP(SSQ_Raw!Y25,'SSQ Metadata'!$A$5:$A$8,'SSQ Metadata'!$B$5:$B$8)</f>
        <v>0</v>
      </c>
      <c r="Z25" s="45">
        <f>_xlfn.XLOOKUP(SSQ_Raw!Z25,'SSQ Metadata'!$A$5:$A$8,'SSQ Metadata'!$B$5:$B$8)</f>
        <v>1</v>
      </c>
      <c r="AA25" s="45">
        <f>_xlfn.XLOOKUP(SSQ_Raw!AA25,'SSQ Metadata'!$A$5:$A$8,'SSQ Metadata'!$B$5:$B$8)</f>
        <v>2</v>
      </c>
      <c r="AB25" s="45">
        <f>_xlfn.XLOOKUP(SSQ_Raw!AB25,'SSQ Metadata'!$A$5:$A$8,'SSQ Metadata'!$B$5:$B$8)</f>
        <v>0</v>
      </c>
      <c r="AC25" s="45">
        <f>_xlfn.XLOOKUP(SSQ_Raw!AC25,'SSQ Metadata'!$A$5:$A$8,'SSQ Metadata'!$B$5:$B$8)</f>
        <v>0</v>
      </c>
      <c r="AD25" s="45">
        <f>_xlfn.XLOOKUP(SSQ_Raw!AD25,'SSQ Metadata'!$A$5:$A$8,'SSQ Metadata'!$B$5:$B$8)</f>
        <v>0</v>
      </c>
      <c r="AE25" s="45">
        <f>_xlfn.XLOOKUP(SSQ_Raw!AE25,'SSQ Metadata'!$A$5:$A$8,'SSQ Metadata'!$B$5:$B$8)</f>
        <v>0</v>
      </c>
      <c r="AF25" s="45">
        <f>_xlfn.XLOOKUP(SSQ_Raw!AF25,'SSQ Metadata'!$A$5:$A$8,'SSQ Metadata'!$B$5:$B$8)</f>
        <v>0</v>
      </c>
      <c r="AG25" s="51">
        <f>_xlfn.XLOOKUP(SSQ_Raw!AG25,'SSQ Metadata'!$A$5:$A$8,'SSQ Metadata'!$B$5:$B$8)</f>
        <v>0</v>
      </c>
      <c r="AH25" s="3" t="s">
        <v>69</v>
      </c>
    </row>
    <row r="26" spans="1:34" x14ac:dyDescent="0.2">
      <c r="A26" s="65">
        <v>23</v>
      </c>
      <c r="B26" s="50">
        <f>_xlfn.XLOOKUP(SSQ_Raw!B26,'SSQ Metadata'!$A$5:$A$8,'SSQ Metadata'!$B$5:$B$8)</f>
        <v>1</v>
      </c>
      <c r="C26" s="45">
        <f>_xlfn.XLOOKUP(SSQ_Raw!C26,'SSQ Metadata'!$A$5:$A$8,'SSQ Metadata'!$B$5:$B$8)</f>
        <v>1</v>
      </c>
      <c r="D26" s="45">
        <f>_xlfn.XLOOKUP(SSQ_Raw!D26,'SSQ Metadata'!$A$5:$A$8,'SSQ Metadata'!$B$5:$B$8)</f>
        <v>0</v>
      </c>
      <c r="E26" s="45">
        <f>_xlfn.XLOOKUP(SSQ_Raw!E26,'SSQ Metadata'!$A$5:$A$8,'SSQ Metadata'!$B$5:$B$8)</f>
        <v>1</v>
      </c>
      <c r="F26" s="45">
        <f>_xlfn.XLOOKUP(SSQ_Raw!F26,'SSQ Metadata'!$A$5:$A$8,'SSQ Metadata'!$B$5:$B$8)</f>
        <v>0</v>
      </c>
      <c r="G26" s="45">
        <f>_xlfn.XLOOKUP(SSQ_Raw!G26,'SSQ Metadata'!$A$5:$A$8,'SSQ Metadata'!$B$5:$B$8)</f>
        <v>0</v>
      </c>
      <c r="H26" s="45">
        <f>_xlfn.XLOOKUP(SSQ_Raw!H26,'SSQ Metadata'!$A$5:$A$8,'SSQ Metadata'!$B$5:$B$8)</f>
        <v>0</v>
      </c>
      <c r="I26" s="45">
        <f>_xlfn.XLOOKUP(SSQ_Raw!I26,'SSQ Metadata'!$A$5:$A$8,'SSQ Metadata'!$B$5:$B$8)</f>
        <v>0</v>
      </c>
      <c r="J26" s="45">
        <f>_xlfn.XLOOKUP(SSQ_Raw!J26,'SSQ Metadata'!$A$5:$A$8,'SSQ Metadata'!$B$5:$B$8)</f>
        <v>1</v>
      </c>
      <c r="K26" s="45">
        <f>_xlfn.XLOOKUP(SSQ_Raw!K26,'SSQ Metadata'!$A$5:$A$8,'SSQ Metadata'!$B$5:$B$8)</f>
        <v>1</v>
      </c>
      <c r="L26" s="45">
        <f>_xlfn.XLOOKUP(SSQ_Raw!L26,'SSQ Metadata'!$A$5:$A$8,'SSQ Metadata'!$B$5:$B$8)</f>
        <v>0</v>
      </c>
      <c r="M26" s="45">
        <f>_xlfn.XLOOKUP(SSQ_Raw!M26,'SSQ Metadata'!$A$5:$A$8,'SSQ Metadata'!$B$5:$B$8)</f>
        <v>0</v>
      </c>
      <c r="N26" s="45">
        <f>_xlfn.XLOOKUP(SSQ_Raw!N26,'SSQ Metadata'!$A$5:$A$8,'SSQ Metadata'!$B$5:$B$8)</f>
        <v>0</v>
      </c>
      <c r="O26" s="45">
        <f>_xlfn.XLOOKUP(SSQ_Raw!O26,'SSQ Metadata'!$A$5:$A$8,'SSQ Metadata'!$B$5:$B$8)</f>
        <v>0</v>
      </c>
      <c r="P26" s="45">
        <f>_xlfn.XLOOKUP(SSQ_Raw!P26,'SSQ Metadata'!$A$5:$A$8,'SSQ Metadata'!$B$5:$B$8)</f>
        <v>0</v>
      </c>
      <c r="Q26" s="45">
        <f>_xlfn.XLOOKUP(SSQ_Raw!Q26,'SSQ Metadata'!$A$5:$A$8,'SSQ Metadata'!$B$5:$B$8)</f>
        <v>0</v>
      </c>
      <c r="R26" s="45">
        <f>_xlfn.XLOOKUP(SSQ_Raw!R26,'SSQ Metadata'!$A$5:$A$8,'SSQ Metadata'!$B$5:$B$8)</f>
        <v>1</v>
      </c>
      <c r="S26" s="45">
        <f>_xlfn.XLOOKUP(SSQ_Raw!S26,'SSQ Metadata'!$A$5:$A$8,'SSQ Metadata'!$B$5:$B$8)</f>
        <v>1</v>
      </c>
      <c r="T26" s="45">
        <f>_xlfn.XLOOKUP(SSQ_Raw!T26,'SSQ Metadata'!$A$5:$A$8,'SSQ Metadata'!$B$5:$B$8)</f>
        <v>0</v>
      </c>
      <c r="U26" s="45">
        <f>_xlfn.XLOOKUP(SSQ_Raw!U26,'SSQ Metadata'!$A$5:$A$8,'SSQ Metadata'!$B$5:$B$8)</f>
        <v>1</v>
      </c>
      <c r="V26" s="45">
        <f>_xlfn.XLOOKUP(SSQ_Raw!V26,'SSQ Metadata'!$A$5:$A$8,'SSQ Metadata'!$B$5:$B$8)</f>
        <v>1</v>
      </c>
      <c r="W26" s="45">
        <f>_xlfn.XLOOKUP(SSQ_Raw!W26,'SSQ Metadata'!$A$5:$A$8,'SSQ Metadata'!$B$5:$B$8)</f>
        <v>0</v>
      </c>
      <c r="X26" s="45">
        <f>_xlfn.XLOOKUP(SSQ_Raw!X26,'SSQ Metadata'!$A$5:$A$8,'SSQ Metadata'!$B$5:$B$8)</f>
        <v>0</v>
      </c>
      <c r="Y26" s="45">
        <f>_xlfn.XLOOKUP(SSQ_Raw!Y26,'SSQ Metadata'!$A$5:$A$8,'SSQ Metadata'!$B$5:$B$8)</f>
        <v>0</v>
      </c>
      <c r="Z26" s="45">
        <f>_xlfn.XLOOKUP(SSQ_Raw!Z26,'SSQ Metadata'!$A$5:$A$8,'SSQ Metadata'!$B$5:$B$8)</f>
        <v>1</v>
      </c>
      <c r="AA26" s="45">
        <f>_xlfn.XLOOKUP(SSQ_Raw!AA26,'SSQ Metadata'!$A$5:$A$8,'SSQ Metadata'!$B$5:$B$8)</f>
        <v>0</v>
      </c>
      <c r="AB26" s="45">
        <f>_xlfn.XLOOKUP(SSQ_Raw!AB26,'SSQ Metadata'!$A$5:$A$8,'SSQ Metadata'!$B$5:$B$8)</f>
        <v>1</v>
      </c>
      <c r="AC26" s="45">
        <f>_xlfn.XLOOKUP(SSQ_Raw!AC26,'SSQ Metadata'!$A$5:$A$8,'SSQ Metadata'!$B$5:$B$8)</f>
        <v>0</v>
      </c>
      <c r="AD26" s="45">
        <f>_xlfn.XLOOKUP(SSQ_Raw!AD26,'SSQ Metadata'!$A$5:$A$8,'SSQ Metadata'!$B$5:$B$8)</f>
        <v>0</v>
      </c>
      <c r="AE26" s="45">
        <f>_xlfn.XLOOKUP(SSQ_Raw!AE26,'SSQ Metadata'!$A$5:$A$8,'SSQ Metadata'!$B$5:$B$8)</f>
        <v>0</v>
      </c>
      <c r="AF26" s="45">
        <f>_xlfn.XLOOKUP(SSQ_Raw!AF26,'SSQ Metadata'!$A$5:$A$8,'SSQ Metadata'!$B$5:$B$8)</f>
        <v>0</v>
      </c>
      <c r="AG26" s="51">
        <f>_xlfn.XLOOKUP(SSQ_Raw!AG26,'SSQ Metadata'!$A$5:$A$8,'SSQ Metadata'!$B$5:$B$8)</f>
        <v>0</v>
      </c>
      <c r="AH26" s="3" t="s">
        <v>71</v>
      </c>
    </row>
    <row r="27" spans="1:34" x14ac:dyDescent="0.2">
      <c r="A27" s="65">
        <v>24</v>
      </c>
      <c r="B27" s="50">
        <f>_xlfn.XLOOKUP(SSQ_Raw!B27,'SSQ Metadata'!$A$5:$A$8,'SSQ Metadata'!$B$5:$B$8)</f>
        <v>0</v>
      </c>
      <c r="C27" s="45">
        <f>_xlfn.XLOOKUP(SSQ_Raw!C27,'SSQ Metadata'!$A$5:$A$8,'SSQ Metadata'!$B$5:$B$8)</f>
        <v>1</v>
      </c>
      <c r="D27" s="45">
        <f>_xlfn.XLOOKUP(SSQ_Raw!D27,'SSQ Metadata'!$A$5:$A$8,'SSQ Metadata'!$B$5:$B$8)</f>
        <v>0</v>
      </c>
      <c r="E27" s="45">
        <f>_xlfn.XLOOKUP(SSQ_Raw!E27,'SSQ Metadata'!$A$5:$A$8,'SSQ Metadata'!$B$5:$B$8)</f>
        <v>0</v>
      </c>
      <c r="F27" s="45">
        <f>_xlfn.XLOOKUP(SSQ_Raw!F27,'SSQ Metadata'!$A$5:$A$8,'SSQ Metadata'!$B$5:$B$8)</f>
        <v>0</v>
      </c>
      <c r="G27" s="45">
        <f>_xlfn.XLOOKUP(SSQ_Raw!G27,'SSQ Metadata'!$A$5:$A$8,'SSQ Metadata'!$B$5:$B$8)</f>
        <v>0</v>
      </c>
      <c r="H27" s="45">
        <f>_xlfn.XLOOKUP(SSQ_Raw!H27,'SSQ Metadata'!$A$5:$A$8,'SSQ Metadata'!$B$5:$B$8)</f>
        <v>0</v>
      </c>
      <c r="I27" s="45">
        <f>_xlfn.XLOOKUP(SSQ_Raw!I27,'SSQ Metadata'!$A$5:$A$8,'SSQ Metadata'!$B$5:$B$8)</f>
        <v>0</v>
      </c>
      <c r="J27" s="45">
        <f>_xlfn.XLOOKUP(SSQ_Raw!J27,'SSQ Metadata'!$A$5:$A$8,'SSQ Metadata'!$B$5:$B$8)</f>
        <v>0</v>
      </c>
      <c r="K27" s="45">
        <f>_xlfn.XLOOKUP(SSQ_Raw!K27,'SSQ Metadata'!$A$5:$A$8,'SSQ Metadata'!$B$5:$B$8)</f>
        <v>0</v>
      </c>
      <c r="L27" s="45">
        <f>_xlfn.XLOOKUP(SSQ_Raw!L27,'SSQ Metadata'!$A$5:$A$8,'SSQ Metadata'!$B$5:$B$8)</f>
        <v>0</v>
      </c>
      <c r="M27" s="45">
        <f>_xlfn.XLOOKUP(SSQ_Raw!M27,'SSQ Metadata'!$A$5:$A$8,'SSQ Metadata'!$B$5:$B$8)</f>
        <v>0</v>
      </c>
      <c r="N27" s="45">
        <f>_xlfn.XLOOKUP(SSQ_Raw!N27,'SSQ Metadata'!$A$5:$A$8,'SSQ Metadata'!$B$5:$B$8)</f>
        <v>0</v>
      </c>
      <c r="O27" s="45">
        <f>_xlfn.XLOOKUP(SSQ_Raw!O27,'SSQ Metadata'!$A$5:$A$8,'SSQ Metadata'!$B$5:$B$8)</f>
        <v>0</v>
      </c>
      <c r="P27" s="45">
        <f>_xlfn.XLOOKUP(SSQ_Raw!P27,'SSQ Metadata'!$A$5:$A$8,'SSQ Metadata'!$B$5:$B$8)</f>
        <v>0</v>
      </c>
      <c r="Q27" s="45">
        <f>_xlfn.XLOOKUP(SSQ_Raw!Q27,'SSQ Metadata'!$A$5:$A$8,'SSQ Metadata'!$B$5:$B$8)</f>
        <v>0</v>
      </c>
      <c r="R27" s="45">
        <f>_xlfn.XLOOKUP(SSQ_Raw!R27,'SSQ Metadata'!$A$5:$A$8,'SSQ Metadata'!$B$5:$B$8)</f>
        <v>0</v>
      </c>
      <c r="S27" s="45">
        <f>_xlfn.XLOOKUP(SSQ_Raw!S27,'SSQ Metadata'!$A$5:$A$8,'SSQ Metadata'!$B$5:$B$8)</f>
        <v>1</v>
      </c>
      <c r="T27" s="45">
        <f>_xlfn.XLOOKUP(SSQ_Raw!T27,'SSQ Metadata'!$A$5:$A$8,'SSQ Metadata'!$B$5:$B$8)</f>
        <v>0</v>
      </c>
      <c r="U27" s="45">
        <f>_xlfn.XLOOKUP(SSQ_Raw!U27,'SSQ Metadata'!$A$5:$A$8,'SSQ Metadata'!$B$5:$B$8)</f>
        <v>1</v>
      </c>
      <c r="V27" s="45">
        <f>_xlfn.XLOOKUP(SSQ_Raw!V27,'SSQ Metadata'!$A$5:$A$8,'SSQ Metadata'!$B$5:$B$8)</f>
        <v>0</v>
      </c>
      <c r="W27" s="45">
        <f>_xlfn.XLOOKUP(SSQ_Raw!W27,'SSQ Metadata'!$A$5:$A$8,'SSQ Metadata'!$B$5:$B$8)</f>
        <v>0</v>
      </c>
      <c r="X27" s="45">
        <f>_xlfn.XLOOKUP(SSQ_Raw!X27,'SSQ Metadata'!$A$5:$A$8,'SSQ Metadata'!$B$5:$B$8)</f>
        <v>0</v>
      </c>
      <c r="Y27" s="45">
        <f>_xlfn.XLOOKUP(SSQ_Raw!Y27,'SSQ Metadata'!$A$5:$A$8,'SSQ Metadata'!$B$5:$B$8)</f>
        <v>0</v>
      </c>
      <c r="Z27" s="45">
        <f>_xlfn.XLOOKUP(SSQ_Raw!Z27,'SSQ Metadata'!$A$5:$A$8,'SSQ Metadata'!$B$5:$B$8)</f>
        <v>0</v>
      </c>
      <c r="AA27" s="45">
        <f>_xlfn.XLOOKUP(SSQ_Raw!AA27,'SSQ Metadata'!$A$5:$A$8,'SSQ Metadata'!$B$5:$B$8)</f>
        <v>0</v>
      </c>
      <c r="AB27" s="45">
        <f>_xlfn.XLOOKUP(SSQ_Raw!AB27,'SSQ Metadata'!$A$5:$A$8,'SSQ Metadata'!$B$5:$B$8)</f>
        <v>0</v>
      </c>
      <c r="AC27" s="45">
        <f>_xlfn.XLOOKUP(SSQ_Raw!AC27,'SSQ Metadata'!$A$5:$A$8,'SSQ Metadata'!$B$5:$B$8)</f>
        <v>0</v>
      </c>
      <c r="AD27" s="45">
        <f>_xlfn.XLOOKUP(SSQ_Raw!AD27,'SSQ Metadata'!$A$5:$A$8,'SSQ Metadata'!$B$5:$B$8)</f>
        <v>0</v>
      </c>
      <c r="AE27" s="45">
        <f>_xlfn.XLOOKUP(SSQ_Raw!AE27,'SSQ Metadata'!$A$5:$A$8,'SSQ Metadata'!$B$5:$B$8)</f>
        <v>0</v>
      </c>
      <c r="AF27" s="45">
        <f>_xlfn.XLOOKUP(SSQ_Raw!AF27,'SSQ Metadata'!$A$5:$A$8,'SSQ Metadata'!$B$5:$B$8)</f>
        <v>0</v>
      </c>
      <c r="AG27" s="51">
        <f>_xlfn.XLOOKUP(SSQ_Raw!AG27,'SSQ Metadata'!$A$5:$A$8,'SSQ Metadata'!$B$5:$B$8)</f>
        <v>0</v>
      </c>
      <c r="AH27" s="3" t="s">
        <v>72</v>
      </c>
    </row>
    <row r="28" spans="1:34" x14ac:dyDescent="0.2">
      <c r="A28" s="65">
        <v>25</v>
      </c>
      <c r="B28" s="50">
        <f>_xlfn.XLOOKUP(SSQ_Raw!B28,'SSQ Metadata'!$A$5:$A$8,'SSQ Metadata'!$B$5:$B$8)</f>
        <v>0</v>
      </c>
      <c r="C28" s="45">
        <f>_xlfn.XLOOKUP(SSQ_Raw!C28,'SSQ Metadata'!$A$5:$A$8,'SSQ Metadata'!$B$5:$B$8)</f>
        <v>2</v>
      </c>
      <c r="D28" s="45">
        <f>_xlfn.XLOOKUP(SSQ_Raw!D28,'SSQ Metadata'!$A$5:$A$8,'SSQ Metadata'!$B$5:$B$8)</f>
        <v>1</v>
      </c>
      <c r="E28" s="45">
        <f>_xlfn.XLOOKUP(SSQ_Raw!E28,'SSQ Metadata'!$A$5:$A$8,'SSQ Metadata'!$B$5:$B$8)</f>
        <v>0</v>
      </c>
      <c r="F28" s="45">
        <f>_xlfn.XLOOKUP(SSQ_Raw!F28,'SSQ Metadata'!$A$5:$A$8,'SSQ Metadata'!$B$5:$B$8)</f>
        <v>1</v>
      </c>
      <c r="G28" s="45">
        <f>_xlfn.XLOOKUP(SSQ_Raw!G28,'SSQ Metadata'!$A$5:$A$8,'SSQ Metadata'!$B$5:$B$8)</f>
        <v>1</v>
      </c>
      <c r="H28" s="45">
        <f>_xlfn.XLOOKUP(SSQ_Raw!H28,'SSQ Metadata'!$A$5:$A$8,'SSQ Metadata'!$B$5:$B$8)</f>
        <v>0</v>
      </c>
      <c r="I28" s="45">
        <f>_xlfn.XLOOKUP(SSQ_Raw!I28,'SSQ Metadata'!$A$5:$A$8,'SSQ Metadata'!$B$5:$B$8)</f>
        <v>0</v>
      </c>
      <c r="J28" s="45">
        <f>_xlfn.XLOOKUP(SSQ_Raw!J28,'SSQ Metadata'!$A$5:$A$8,'SSQ Metadata'!$B$5:$B$8)</f>
        <v>1</v>
      </c>
      <c r="K28" s="45">
        <f>_xlfn.XLOOKUP(SSQ_Raw!K28,'SSQ Metadata'!$A$5:$A$8,'SSQ Metadata'!$B$5:$B$8)</f>
        <v>1</v>
      </c>
      <c r="L28" s="45">
        <f>_xlfn.XLOOKUP(SSQ_Raw!L28,'SSQ Metadata'!$A$5:$A$8,'SSQ Metadata'!$B$5:$B$8)</f>
        <v>0</v>
      </c>
      <c r="M28" s="45">
        <f>_xlfn.XLOOKUP(SSQ_Raw!M28,'SSQ Metadata'!$A$5:$A$8,'SSQ Metadata'!$B$5:$B$8)</f>
        <v>0</v>
      </c>
      <c r="N28" s="45">
        <f>_xlfn.XLOOKUP(SSQ_Raw!N28,'SSQ Metadata'!$A$5:$A$8,'SSQ Metadata'!$B$5:$B$8)</f>
        <v>0</v>
      </c>
      <c r="O28" s="45">
        <f>_xlfn.XLOOKUP(SSQ_Raw!O28,'SSQ Metadata'!$A$5:$A$8,'SSQ Metadata'!$B$5:$B$8)</f>
        <v>0</v>
      </c>
      <c r="P28" s="45">
        <f>_xlfn.XLOOKUP(SSQ_Raw!P28,'SSQ Metadata'!$A$5:$A$8,'SSQ Metadata'!$B$5:$B$8)</f>
        <v>1</v>
      </c>
      <c r="Q28" s="45">
        <f>_xlfn.XLOOKUP(SSQ_Raw!Q28,'SSQ Metadata'!$A$5:$A$8,'SSQ Metadata'!$B$5:$B$8)</f>
        <v>0</v>
      </c>
      <c r="R28" s="45">
        <f>_xlfn.XLOOKUP(SSQ_Raw!R28,'SSQ Metadata'!$A$5:$A$8,'SSQ Metadata'!$B$5:$B$8)</f>
        <v>1</v>
      </c>
      <c r="S28" s="45">
        <f>_xlfn.XLOOKUP(SSQ_Raw!S28,'SSQ Metadata'!$A$5:$A$8,'SSQ Metadata'!$B$5:$B$8)</f>
        <v>1</v>
      </c>
      <c r="T28" s="45">
        <f>_xlfn.XLOOKUP(SSQ_Raw!T28,'SSQ Metadata'!$A$5:$A$8,'SSQ Metadata'!$B$5:$B$8)</f>
        <v>1</v>
      </c>
      <c r="U28" s="45">
        <f>_xlfn.XLOOKUP(SSQ_Raw!U28,'SSQ Metadata'!$A$5:$A$8,'SSQ Metadata'!$B$5:$B$8)</f>
        <v>2</v>
      </c>
      <c r="V28" s="45">
        <f>_xlfn.XLOOKUP(SSQ_Raw!V28,'SSQ Metadata'!$A$5:$A$8,'SSQ Metadata'!$B$5:$B$8)</f>
        <v>0</v>
      </c>
      <c r="W28" s="45">
        <f>_xlfn.XLOOKUP(SSQ_Raw!W28,'SSQ Metadata'!$A$5:$A$8,'SSQ Metadata'!$B$5:$B$8)</f>
        <v>0</v>
      </c>
      <c r="X28" s="45">
        <f>_xlfn.XLOOKUP(SSQ_Raw!X28,'SSQ Metadata'!$A$5:$A$8,'SSQ Metadata'!$B$5:$B$8)</f>
        <v>0</v>
      </c>
      <c r="Y28" s="45">
        <f>_xlfn.XLOOKUP(SSQ_Raw!Y28,'SSQ Metadata'!$A$5:$A$8,'SSQ Metadata'!$B$5:$B$8)</f>
        <v>1</v>
      </c>
      <c r="Z28" s="45">
        <f>_xlfn.XLOOKUP(SSQ_Raw!Z28,'SSQ Metadata'!$A$5:$A$8,'SSQ Metadata'!$B$5:$B$8)</f>
        <v>0</v>
      </c>
      <c r="AA28" s="45">
        <f>_xlfn.XLOOKUP(SSQ_Raw!AA28,'SSQ Metadata'!$A$5:$A$8,'SSQ Metadata'!$B$5:$B$8)</f>
        <v>1</v>
      </c>
      <c r="AB28" s="45">
        <f>_xlfn.XLOOKUP(SSQ_Raw!AB28,'SSQ Metadata'!$A$5:$A$8,'SSQ Metadata'!$B$5:$B$8)</f>
        <v>1</v>
      </c>
      <c r="AC28" s="45">
        <f>_xlfn.XLOOKUP(SSQ_Raw!AC28,'SSQ Metadata'!$A$5:$A$8,'SSQ Metadata'!$B$5:$B$8)</f>
        <v>0</v>
      </c>
      <c r="AD28" s="45">
        <f>_xlfn.XLOOKUP(SSQ_Raw!AD28,'SSQ Metadata'!$A$5:$A$8,'SSQ Metadata'!$B$5:$B$8)</f>
        <v>0</v>
      </c>
      <c r="AE28" s="45">
        <f>_xlfn.XLOOKUP(SSQ_Raw!AE28,'SSQ Metadata'!$A$5:$A$8,'SSQ Metadata'!$B$5:$B$8)</f>
        <v>0</v>
      </c>
      <c r="AF28" s="45">
        <f>_xlfn.XLOOKUP(SSQ_Raw!AF28,'SSQ Metadata'!$A$5:$A$8,'SSQ Metadata'!$B$5:$B$8)</f>
        <v>0</v>
      </c>
      <c r="AG28" s="51">
        <f>_xlfn.XLOOKUP(SSQ_Raw!AG28,'SSQ Metadata'!$A$5:$A$8,'SSQ Metadata'!$B$5:$B$8)</f>
        <v>0</v>
      </c>
      <c r="AH28" s="3" t="s">
        <v>73</v>
      </c>
    </row>
    <row r="29" spans="1:34" x14ac:dyDescent="0.2">
      <c r="A29" s="65">
        <v>26</v>
      </c>
      <c r="B29" s="50">
        <f>_xlfn.XLOOKUP(SSQ_Raw!B29,'SSQ Metadata'!$A$5:$A$8,'SSQ Metadata'!$B$5:$B$8)</f>
        <v>0</v>
      </c>
      <c r="C29" s="45">
        <f>_xlfn.XLOOKUP(SSQ_Raw!C29,'SSQ Metadata'!$A$5:$A$8,'SSQ Metadata'!$B$5:$B$8)</f>
        <v>1</v>
      </c>
      <c r="D29" s="45">
        <f>_xlfn.XLOOKUP(SSQ_Raw!D29,'SSQ Metadata'!$A$5:$A$8,'SSQ Metadata'!$B$5:$B$8)</f>
        <v>0</v>
      </c>
      <c r="E29" s="45">
        <f>_xlfn.XLOOKUP(SSQ_Raw!E29,'SSQ Metadata'!$A$5:$A$8,'SSQ Metadata'!$B$5:$B$8)</f>
        <v>0</v>
      </c>
      <c r="F29" s="45">
        <f>_xlfn.XLOOKUP(SSQ_Raw!F29,'SSQ Metadata'!$A$5:$A$8,'SSQ Metadata'!$B$5:$B$8)</f>
        <v>0</v>
      </c>
      <c r="G29" s="45">
        <f>_xlfn.XLOOKUP(SSQ_Raw!G29,'SSQ Metadata'!$A$5:$A$8,'SSQ Metadata'!$B$5:$B$8)</f>
        <v>0</v>
      </c>
      <c r="H29" s="45">
        <f>_xlfn.XLOOKUP(SSQ_Raw!H29,'SSQ Metadata'!$A$5:$A$8,'SSQ Metadata'!$B$5:$B$8)</f>
        <v>0</v>
      </c>
      <c r="I29" s="45">
        <f>_xlfn.XLOOKUP(SSQ_Raw!I29,'SSQ Metadata'!$A$5:$A$8,'SSQ Metadata'!$B$5:$B$8)</f>
        <v>0</v>
      </c>
      <c r="J29" s="45">
        <f>_xlfn.XLOOKUP(SSQ_Raw!J29,'SSQ Metadata'!$A$5:$A$8,'SSQ Metadata'!$B$5:$B$8)</f>
        <v>0</v>
      </c>
      <c r="K29" s="45">
        <f>_xlfn.XLOOKUP(SSQ_Raw!K29,'SSQ Metadata'!$A$5:$A$8,'SSQ Metadata'!$B$5:$B$8)</f>
        <v>0</v>
      </c>
      <c r="L29" s="45">
        <f>_xlfn.XLOOKUP(SSQ_Raw!L29,'SSQ Metadata'!$A$5:$A$8,'SSQ Metadata'!$B$5:$B$8)</f>
        <v>0</v>
      </c>
      <c r="M29" s="45">
        <f>_xlfn.XLOOKUP(SSQ_Raw!M29,'SSQ Metadata'!$A$5:$A$8,'SSQ Metadata'!$B$5:$B$8)</f>
        <v>0</v>
      </c>
      <c r="N29" s="45">
        <f>_xlfn.XLOOKUP(SSQ_Raw!N29,'SSQ Metadata'!$A$5:$A$8,'SSQ Metadata'!$B$5:$B$8)</f>
        <v>0</v>
      </c>
      <c r="O29" s="45">
        <f>_xlfn.XLOOKUP(SSQ_Raw!O29,'SSQ Metadata'!$A$5:$A$8,'SSQ Metadata'!$B$5:$B$8)</f>
        <v>0</v>
      </c>
      <c r="P29" s="45">
        <f>_xlfn.XLOOKUP(SSQ_Raw!P29,'SSQ Metadata'!$A$5:$A$8,'SSQ Metadata'!$B$5:$B$8)</f>
        <v>0</v>
      </c>
      <c r="Q29" s="45">
        <f>_xlfn.XLOOKUP(SSQ_Raw!Q29,'SSQ Metadata'!$A$5:$A$8,'SSQ Metadata'!$B$5:$B$8)</f>
        <v>0</v>
      </c>
      <c r="R29" s="45">
        <f>_xlfn.XLOOKUP(SSQ_Raw!R29,'SSQ Metadata'!$A$5:$A$8,'SSQ Metadata'!$B$5:$B$8)</f>
        <v>1</v>
      </c>
      <c r="S29" s="45">
        <f>_xlfn.XLOOKUP(SSQ_Raw!S29,'SSQ Metadata'!$A$5:$A$8,'SSQ Metadata'!$B$5:$B$8)</f>
        <v>0</v>
      </c>
      <c r="T29" s="45">
        <f>_xlfn.XLOOKUP(SSQ_Raw!T29,'SSQ Metadata'!$A$5:$A$8,'SSQ Metadata'!$B$5:$B$8)</f>
        <v>0</v>
      </c>
      <c r="U29" s="45">
        <f>_xlfn.XLOOKUP(SSQ_Raw!U29,'SSQ Metadata'!$A$5:$A$8,'SSQ Metadata'!$B$5:$B$8)</f>
        <v>0</v>
      </c>
      <c r="V29" s="45">
        <f>_xlfn.XLOOKUP(SSQ_Raw!V29,'SSQ Metadata'!$A$5:$A$8,'SSQ Metadata'!$B$5:$B$8)</f>
        <v>1</v>
      </c>
      <c r="W29" s="45">
        <f>_xlfn.XLOOKUP(SSQ_Raw!W29,'SSQ Metadata'!$A$5:$A$8,'SSQ Metadata'!$B$5:$B$8)</f>
        <v>0</v>
      </c>
      <c r="X29" s="45">
        <f>_xlfn.XLOOKUP(SSQ_Raw!X29,'SSQ Metadata'!$A$5:$A$8,'SSQ Metadata'!$B$5:$B$8)</f>
        <v>0</v>
      </c>
      <c r="Y29" s="45">
        <f>_xlfn.XLOOKUP(SSQ_Raw!Y29,'SSQ Metadata'!$A$5:$A$8,'SSQ Metadata'!$B$5:$B$8)</f>
        <v>0</v>
      </c>
      <c r="Z29" s="45">
        <f>_xlfn.XLOOKUP(SSQ_Raw!Z29,'SSQ Metadata'!$A$5:$A$8,'SSQ Metadata'!$B$5:$B$8)</f>
        <v>0</v>
      </c>
      <c r="AA29" s="45">
        <f>_xlfn.XLOOKUP(SSQ_Raw!AA29,'SSQ Metadata'!$A$5:$A$8,'SSQ Metadata'!$B$5:$B$8)</f>
        <v>2</v>
      </c>
      <c r="AB29" s="45">
        <f>_xlfn.XLOOKUP(SSQ_Raw!AB29,'SSQ Metadata'!$A$5:$A$8,'SSQ Metadata'!$B$5:$B$8)</f>
        <v>0</v>
      </c>
      <c r="AC29" s="45">
        <f>_xlfn.XLOOKUP(SSQ_Raw!AC29,'SSQ Metadata'!$A$5:$A$8,'SSQ Metadata'!$B$5:$B$8)</f>
        <v>1</v>
      </c>
      <c r="AD29" s="45">
        <f>_xlfn.XLOOKUP(SSQ_Raw!AD29,'SSQ Metadata'!$A$5:$A$8,'SSQ Metadata'!$B$5:$B$8)</f>
        <v>0</v>
      </c>
      <c r="AE29" s="45">
        <f>_xlfn.XLOOKUP(SSQ_Raw!AE29,'SSQ Metadata'!$A$5:$A$8,'SSQ Metadata'!$B$5:$B$8)</f>
        <v>0</v>
      </c>
      <c r="AF29" s="45">
        <f>_xlfn.XLOOKUP(SSQ_Raw!AF29,'SSQ Metadata'!$A$5:$A$8,'SSQ Metadata'!$B$5:$B$8)</f>
        <v>0</v>
      </c>
      <c r="AG29" s="51">
        <f>_xlfn.XLOOKUP(SSQ_Raw!AG29,'SSQ Metadata'!$A$5:$A$8,'SSQ Metadata'!$B$5:$B$8)</f>
        <v>0</v>
      </c>
      <c r="AH29" s="3" t="s">
        <v>74</v>
      </c>
    </row>
    <row r="30" spans="1:34" x14ac:dyDescent="0.2">
      <c r="A30" s="65">
        <v>27</v>
      </c>
      <c r="B30" s="50">
        <f>_xlfn.XLOOKUP(SSQ_Raw!B30,'SSQ Metadata'!$A$5:$A$8,'SSQ Metadata'!$B$5:$B$8)</f>
        <v>0</v>
      </c>
      <c r="C30" s="45">
        <f>_xlfn.XLOOKUP(SSQ_Raw!C30,'SSQ Metadata'!$A$5:$A$8,'SSQ Metadata'!$B$5:$B$8)</f>
        <v>1</v>
      </c>
      <c r="D30" s="45">
        <f>_xlfn.XLOOKUP(SSQ_Raw!D30,'SSQ Metadata'!$A$5:$A$8,'SSQ Metadata'!$B$5:$B$8)</f>
        <v>0</v>
      </c>
      <c r="E30" s="45">
        <f>_xlfn.XLOOKUP(SSQ_Raw!E30,'SSQ Metadata'!$A$5:$A$8,'SSQ Metadata'!$B$5:$B$8)</f>
        <v>1</v>
      </c>
      <c r="F30" s="45">
        <f>_xlfn.XLOOKUP(SSQ_Raw!F30,'SSQ Metadata'!$A$5:$A$8,'SSQ Metadata'!$B$5:$B$8)</f>
        <v>1</v>
      </c>
      <c r="G30" s="45">
        <f>_xlfn.XLOOKUP(SSQ_Raw!G30,'SSQ Metadata'!$A$5:$A$8,'SSQ Metadata'!$B$5:$B$8)</f>
        <v>0</v>
      </c>
      <c r="H30" s="45">
        <f>_xlfn.XLOOKUP(SSQ_Raw!H30,'SSQ Metadata'!$A$5:$A$8,'SSQ Metadata'!$B$5:$B$8)</f>
        <v>0</v>
      </c>
      <c r="I30" s="45">
        <f>_xlfn.XLOOKUP(SSQ_Raw!I30,'SSQ Metadata'!$A$5:$A$8,'SSQ Metadata'!$B$5:$B$8)</f>
        <v>0</v>
      </c>
      <c r="J30" s="45">
        <f>_xlfn.XLOOKUP(SSQ_Raw!J30,'SSQ Metadata'!$A$5:$A$8,'SSQ Metadata'!$B$5:$B$8)</f>
        <v>0</v>
      </c>
      <c r="K30" s="45">
        <f>_xlfn.XLOOKUP(SSQ_Raw!K30,'SSQ Metadata'!$A$5:$A$8,'SSQ Metadata'!$B$5:$B$8)</f>
        <v>0</v>
      </c>
      <c r="L30" s="45">
        <f>_xlfn.XLOOKUP(SSQ_Raw!L30,'SSQ Metadata'!$A$5:$A$8,'SSQ Metadata'!$B$5:$B$8)</f>
        <v>0</v>
      </c>
      <c r="M30" s="45">
        <f>_xlfn.XLOOKUP(SSQ_Raw!M30,'SSQ Metadata'!$A$5:$A$8,'SSQ Metadata'!$B$5:$B$8)</f>
        <v>0</v>
      </c>
      <c r="N30" s="45">
        <f>_xlfn.XLOOKUP(SSQ_Raw!N30,'SSQ Metadata'!$A$5:$A$8,'SSQ Metadata'!$B$5:$B$8)</f>
        <v>0</v>
      </c>
      <c r="O30" s="45">
        <f>_xlfn.XLOOKUP(SSQ_Raw!O30,'SSQ Metadata'!$A$5:$A$8,'SSQ Metadata'!$B$5:$B$8)</f>
        <v>0</v>
      </c>
      <c r="P30" s="45">
        <f>_xlfn.XLOOKUP(SSQ_Raw!P30,'SSQ Metadata'!$A$5:$A$8,'SSQ Metadata'!$B$5:$B$8)</f>
        <v>0</v>
      </c>
      <c r="Q30" s="45">
        <f>_xlfn.XLOOKUP(SSQ_Raw!Q30,'SSQ Metadata'!$A$5:$A$8,'SSQ Metadata'!$B$5:$B$8)</f>
        <v>0</v>
      </c>
      <c r="R30" s="45">
        <f>_xlfn.XLOOKUP(SSQ_Raw!R30,'SSQ Metadata'!$A$5:$A$8,'SSQ Metadata'!$B$5:$B$8)</f>
        <v>1</v>
      </c>
      <c r="S30" s="45">
        <f>_xlfn.XLOOKUP(SSQ_Raw!S30,'SSQ Metadata'!$A$5:$A$8,'SSQ Metadata'!$B$5:$B$8)</f>
        <v>1</v>
      </c>
      <c r="T30" s="45">
        <f>_xlfn.XLOOKUP(SSQ_Raw!T30,'SSQ Metadata'!$A$5:$A$8,'SSQ Metadata'!$B$5:$B$8)</f>
        <v>2</v>
      </c>
      <c r="U30" s="45">
        <f>_xlfn.XLOOKUP(SSQ_Raw!U30,'SSQ Metadata'!$A$5:$A$8,'SSQ Metadata'!$B$5:$B$8)</f>
        <v>2</v>
      </c>
      <c r="V30" s="45">
        <f>_xlfn.XLOOKUP(SSQ_Raw!V30,'SSQ Metadata'!$A$5:$A$8,'SSQ Metadata'!$B$5:$B$8)</f>
        <v>1</v>
      </c>
      <c r="W30" s="45">
        <f>_xlfn.XLOOKUP(SSQ_Raw!W30,'SSQ Metadata'!$A$5:$A$8,'SSQ Metadata'!$B$5:$B$8)</f>
        <v>0</v>
      </c>
      <c r="X30" s="45">
        <f>_xlfn.XLOOKUP(SSQ_Raw!X30,'SSQ Metadata'!$A$5:$A$8,'SSQ Metadata'!$B$5:$B$8)</f>
        <v>0</v>
      </c>
      <c r="Y30" s="45">
        <f>_xlfn.XLOOKUP(SSQ_Raw!Y30,'SSQ Metadata'!$A$5:$A$8,'SSQ Metadata'!$B$5:$B$8)</f>
        <v>2</v>
      </c>
      <c r="Z30" s="45">
        <f>_xlfn.XLOOKUP(SSQ_Raw!Z30,'SSQ Metadata'!$A$5:$A$8,'SSQ Metadata'!$B$5:$B$8)</f>
        <v>1</v>
      </c>
      <c r="AA30" s="45">
        <f>_xlfn.XLOOKUP(SSQ_Raw!AA30,'SSQ Metadata'!$A$5:$A$8,'SSQ Metadata'!$B$5:$B$8)</f>
        <v>1</v>
      </c>
      <c r="AB30" s="45">
        <f>_xlfn.XLOOKUP(SSQ_Raw!AB30,'SSQ Metadata'!$A$5:$A$8,'SSQ Metadata'!$B$5:$B$8)</f>
        <v>1</v>
      </c>
      <c r="AC30" s="45">
        <f>_xlfn.XLOOKUP(SSQ_Raw!AC30,'SSQ Metadata'!$A$5:$A$8,'SSQ Metadata'!$B$5:$B$8)</f>
        <v>0</v>
      </c>
      <c r="AD30" s="45">
        <f>_xlfn.XLOOKUP(SSQ_Raw!AD30,'SSQ Metadata'!$A$5:$A$8,'SSQ Metadata'!$B$5:$B$8)</f>
        <v>0</v>
      </c>
      <c r="AE30" s="45">
        <f>_xlfn.XLOOKUP(SSQ_Raw!AE30,'SSQ Metadata'!$A$5:$A$8,'SSQ Metadata'!$B$5:$B$8)</f>
        <v>0</v>
      </c>
      <c r="AF30" s="45">
        <f>_xlfn.XLOOKUP(SSQ_Raw!AF30,'SSQ Metadata'!$A$5:$A$8,'SSQ Metadata'!$B$5:$B$8)</f>
        <v>0</v>
      </c>
      <c r="AG30" s="51">
        <f>_xlfn.XLOOKUP(SSQ_Raw!AG30,'SSQ Metadata'!$A$5:$A$8,'SSQ Metadata'!$B$5:$B$8)</f>
        <v>0</v>
      </c>
      <c r="AH30" s="3" t="s">
        <v>75</v>
      </c>
    </row>
    <row r="31" spans="1:34" x14ac:dyDescent="0.2">
      <c r="A31" s="65">
        <v>28</v>
      </c>
      <c r="B31" s="50">
        <f>_xlfn.XLOOKUP(SSQ_Raw!B31,'SSQ Metadata'!$A$5:$A$8,'SSQ Metadata'!$B$5:$B$8)</f>
        <v>0</v>
      </c>
      <c r="C31" s="45">
        <f>_xlfn.XLOOKUP(SSQ_Raw!C31,'SSQ Metadata'!$A$5:$A$8,'SSQ Metadata'!$B$5:$B$8)</f>
        <v>1</v>
      </c>
      <c r="D31" s="45">
        <f>_xlfn.XLOOKUP(SSQ_Raw!D31,'SSQ Metadata'!$A$5:$A$8,'SSQ Metadata'!$B$5:$B$8)</f>
        <v>0</v>
      </c>
      <c r="E31" s="45">
        <f>_xlfn.XLOOKUP(SSQ_Raw!E31,'SSQ Metadata'!$A$5:$A$8,'SSQ Metadata'!$B$5:$B$8)</f>
        <v>1</v>
      </c>
      <c r="F31" s="45">
        <f>_xlfn.XLOOKUP(SSQ_Raw!F31,'SSQ Metadata'!$A$5:$A$8,'SSQ Metadata'!$B$5:$B$8)</f>
        <v>0</v>
      </c>
      <c r="G31" s="45">
        <f>_xlfn.XLOOKUP(SSQ_Raw!G31,'SSQ Metadata'!$A$5:$A$8,'SSQ Metadata'!$B$5:$B$8)</f>
        <v>0</v>
      </c>
      <c r="H31" s="45">
        <f>_xlfn.XLOOKUP(SSQ_Raw!H31,'SSQ Metadata'!$A$5:$A$8,'SSQ Metadata'!$B$5:$B$8)</f>
        <v>1</v>
      </c>
      <c r="I31" s="45">
        <f>_xlfn.XLOOKUP(SSQ_Raw!I31,'SSQ Metadata'!$A$5:$A$8,'SSQ Metadata'!$B$5:$B$8)</f>
        <v>0</v>
      </c>
      <c r="J31" s="45">
        <f>_xlfn.XLOOKUP(SSQ_Raw!J31,'SSQ Metadata'!$A$5:$A$8,'SSQ Metadata'!$B$5:$B$8)</f>
        <v>1</v>
      </c>
      <c r="K31" s="45">
        <f>_xlfn.XLOOKUP(SSQ_Raw!K31,'SSQ Metadata'!$A$5:$A$8,'SSQ Metadata'!$B$5:$B$8)</f>
        <v>0</v>
      </c>
      <c r="L31" s="45">
        <f>_xlfn.XLOOKUP(SSQ_Raw!L31,'SSQ Metadata'!$A$5:$A$8,'SSQ Metadata'!$B$5:$B$8)</f>
        <v>0</v>
      </c>
      <c r="M31" s="45">
        <f>_xlfn.XLOOKUP(SSQ_Raw!M31,'SSQ Metadata'!$A$5:$A$8,'SSQ Metadata'!$B$5:$B$8)</f>
        <v>0</v>
      </c>
      <c r="N31" s="45">
        <f>_xlfn.XLOOKUP(SSQ_Raw!N31,'SSQ Metadata'!$A$5:$A$8,'SSQ Metadata'!$B$5:$B$8)</f>
        <v>0</v>
      </c>
      <c r="O31" s="45">
        <f>_xlfn.XLOOKUP(SSQ_Raw!O31,'SSQ Metadata'!$A$5:$A$8,'SSQ Metadata'!$B$5:$B$8)</f>
        <v>0</v>
      </c>
      <c r="P31" s="45">
        <f>_xlfn.XLOOKUP(SSQ_Raw!P31,'SSQ Metadata'!$A$5:$A$8,'SSQ Metadata'!$B$5:$B$8)</f>
        <v>0</v>
      </c>
      <c r="Q31" s="45">
        <f>_xlfn.XLOOKUP(SSQ_Raw!Q31,'SSQ Metadata'!$A$5:$A$8,'SSQ Metadata'!$B$5:$B$8)</f>
        <v>0</v>
      </c>
      <c r="R31" s="45">
        <f>_xlfn.XLOOKUP(SSQ_Raw!R31,'SSQ Metadata'!$A$5:$A$8,'SSQ Metadata'!$B$5:$B$8)</f>
        <v>0</v>
      </c>
      <c r="S31" s="45">
        <f>_xlfn.XLOOKUP(SSQ_Raw!S31,'SSQ Metadata'!$A$5:$A$8,'SSQ Metadata'!$B$5:$B$8)</f>
        <v>1</v>
      </c>
      <c r="T31" s="45">
        <f>_xlfn.XLOOKUP(SSQ_Raw!T31,'SSQ Metadata'!$A$5:$A$8,'SSQ Metadata'!$B$5:$B$8)</f>
        <v>0</v>
      </c>
      <c r="U31" s="45">
        <f>_xlfn.XLOOKUP(SSQ_Raw!U31,'SSQ Metadata'!$A$5:$A$8,'SSQ Metadata'!$B$5:$B$8)</f>
        <v>1</v>
      </c>
      <c r="V31" s="45">
        <f>_xlfn.XLOOKUP(SSQ_Raw!V31,'SSQ Metadata'!$A$5:$A$8,'SSQ Metadata'!$B$5:$B$8)</f>
        <v>0</v>
      </c>
      <c r="W31" s="45">
        <f>_xlfn.XLOOKUP(SSQ_Raw!W31,'SSQ Metadata'!$A$5:$A$8,'SSQ Metadata'!$B$5:$B$8)</f>
        <v>0</v>
      </c>
      <c r="X31" s="45">
        <f>_xlfn.XLOOKUP(SSQ_Raw!X31,'SSQ Metadata'!$A$5:$A$8,'SSQ Metadata'!$B$5:$B$8)</f>
        <v>1</v>
      </c>
      <c r="Y31" s="45">
        <f>_xlfn.XLOOKUP(SSQ_Raw!Y31,'SSQ Metadata'!$A$5:$A$8,'SSQ Metadata'!$B$5:$B$8)</f>
        <v>0</v>
      </c>
      <c r="Z31" s="45">
        <f>_xlfn.XLOOKUP(SSQ_Raw!Z31,'SSQ Metadata'!$A$5:$A$8,'SSQ Metadata'!$B$5:$B$8)</f>
        <v>0</v>
      </c>
      <c r="AA31" s="45">
        <f>_xlfn.XLOOKUP(SSQ_Raw!AA31,'SSQ Metadata'!$A$5:$A$8,'SSQ Metadata'!$B$5:$B$8)</f>
        <v>0</v>
      </c>
      <c r="AB31" s="45">
        <f>_xlfn.XLOOKUP(SSQ_Raw!AB31,'SSQ Metadata'!$A$5:$A$8,'SSQ Metadata'!$B$5:$B$8)</f>
        <v>0</v>
      </c>
      <c r="AC31" s="45">
        <f>_xlfn.XLOOKUP(SSQ_Raw!AC31,'SSQ Metadata'!$A$5:$A$8,'SSQ Metadata'!$B$5:$B$8)</f>
        <v>0</v>
      </c>
      <c r="AD31" s="45">
        <f>_xlfn.XLOOKUP(SSQ_Raw!AD31,'SSQ Metadata'!$A$5:$A$8,'SSQ Metadata'!$B$5:$B$8)</f>
        <v>0</v>
      </c>
      <c r="AE31" s="45">
        <f>_xlfn.XLOOKUP(SSQ_Raw!AE31,'SSQ Metadata'!$A$5:$A$8,'SSQ Metadata'!$B$5:$B$8)</f>
        <v>0</v>
      </c>
      <c r="AF31" s="45">
        <f>_xlfn.XLOOKUP(SSQ_Raw!AF31,'SSQ Metadata'!$A$5:$A$8,'SSQ Metadata'!$B$5:$B$8)</f>
        <v>0</v>
      </c>
      <c r="AG31" s="51">
        <f>_xlfn.XLOOKUP(SSQ_Raw!AG31,'SSQ Metadata'!$A$5:$A$8,'SSQ Metadata'!$B$5:$B$8)</f>
        <v>1</v>
      </c>
      <c r="AH31" s="3" t="s">
        <v>76</v>
      </c>
    </row>
    <row r="32" spans="1:34" x14ac:dyDescent="0.2">
      <c r="A32" s="65">
        <v>29</v>
      </c>
      <c r="B32" s="50">
        <f>_xlfn.XLOOKUP(SSQ_Raw!B32,'SSQ Metadata'!$A$5:$A$8,'SSQ Metadata'!$B$5:$B$8)</f>
        <v>2</v>
      </c>
      <c r="C32" s="45">
        <f>_xlfn.XLOOKUP(SSQ_Raw!C32,'SSQ Metadata'!$A$5:$A$8,'SSQ Metadata'!$B$5:$B$8)</f>
        <v>2</v>
      </c>
      <c r="D32" s="45">
        <f>_xlfn.XLOOKUP(SSQ_Raw!D32,'SSQ Metadata'!$A$5:$A$8,'SSQ Metadata'!$B$5:$B$8)</f>
        <v>1</v>
      </c>
      <c r="E32" s="45">
        <f>_xlfn.XLOOKUP(SSQ_Raw!E32,'SSQ Metadata'!$A$5:$A$8,'SSQ Metadata'!$B$5:$B$8)</f>
        <v>0</v>
      </c>
      <c r="F32" s="45">
        <f>_xlfn.XLOOKUP(SSQ_Raw!F32,'SSQ Metadata'!$A$5:$A$8,'SSQ Metadata'!$B$5:$B$8)</f>
        <v>0</v>
      </c>
      <c r="G32" s="45">
        <f>_xlfn.XLOOKUP(SSQ_Raw!G32,'SSQ Metadata'!$A$5:$A$8,'SSQ Metadata'!$B$5:$B$8)</f>
        <v>0</v>
      </c>
      <c r="H32" s="45">
        <f>_xlfn.XLOOKUP(SSQ_Raw!H32,'SSQ Metadata'!$A$5:$A$8,'SSQ Metadata'!$B$5:$B$8)</f>
        <v>0</v>
      </c>
      <c r="I32" s="45">
        <f>_xlfn.XLOOKUP(SSQ_Raw!I32,'SSQ Metadata'!$A$5:$A$8,'SSQ Metadata'!$B$5:$B$8)</f>
        <v>0</v>
      </c>
      <c r="J32" s="45">
        <f>_xlfn.XLOOKUP(SSQ_Raw!J32,'SSQ Metadata'!$A$5:$A$8,'SSQ Metadata'!$B$5:$B$8)</f>
        <v>2</v>
      </c>
      <c r="K32" s="45">
        <f>_xlfn.XLOOKUP(SSQ_Raw!K32,'SSQ Metadata'!$A$5:$A$8,'SSQ Metadata'!$B$5:$B$8)</f>
        <v>0</v>
      </c>
      <c r="L32" s="45">
        <f>_xlfn.XLOOKUP(SSQ_Raw!L32,'SSQ Metadata'!$A$5:$A$8,'SSQ Metadata'!$B$5:$B$8)</f>
        <v>0</v>
      </c>
      <c r="M32" s="45">
        <f>_xlfn.XLOOKUP(SSQ_Raw!M32,'SSQ Metadata'!$A$5:$A$8,'SSQ Metadata'!$B$5:$B$8)</f>
        <v>0</v>
      </c>
      <c r="N32" s="45">
        <f>_xlfn.XLOOKUP(SSQ_Raw!N32,'SSQ Metadata'!$A$5:$A$8,'SSQ Metadata'!$B$5:$B$8)</f>
        <v>0</v>
      </c>
      <c r="O32" s="45">
        <f>_xlfn.XLOOKUP(SSQ_Raw!O32,'SSQ Metadata'!$A$5:$A$8,'SSQ Metadata'!$B$5:$B$8)</f>
        <v>0</v>
      </c>
      <c r="P32" s="45">
        <f>_xlfn.XLOOKUP(SSQ_Raw!P32,'SSQ Metadata'!$A$5:$A$8,'SSQ Metadata'!$B$5:$B$8)</f>
        <v>2</v>
      </c>
      <c r="Q32" s="45">
        <f>_xlfn.XLOOKUP(SSQ_Raw!Q32,'SSQ Metadata'!$A$5:$A$8,'SSQ Metadata'!$B$5:$B$8)</f>
        <v>0</v>
      </c>
      <c r="R32" s="45">
        <f>_xlfn.XLOOKUP(SSQ_Raw!R32,'SSQ Metadata'!$A$5:$A$8,'SSQ Metadata'!$B$5:$B$8)</f>
        <v>0</v>
      </c>
      <c r="S32" s="45">
        <f>_xlfn.XLOOKUP(SSQ_Raw!S32,'SSQ Metadata'!$A$5:$A$8,'SSQ Metadata'!$B$5:$B$8)</f>
        <v>2</v>
      </c>
      <c r="T32" s="45">
        <f>_xlfn.XLOOKUP(SSQ_Raw!T32,'SSQ Metadata'!$A$5:$A$8,'SSQ Metadata'!$B$5:$B$8)</f>
        <v>0</v>
      </c>
      <c r="U32" s="45">
        <f>_xlfn.XLOOKUP(SSQ_Raw!U32,'SSQ Metadata'!$A$5:$A$8,'SSQ Metadata'!$B$5:$B$8)</f>
        <v>2</v>
      </c>
      <c r="V32" s="45">
        <f>_xlfn.XLOOKUP(SSQ_Raw!V32,'SSQ Metadata'!$A$5:$A$8,'SSQ Metadata'!$B$5:$B$8)</f>
        <v>2</v>
      </c>
      <c r="W32" s="45">
        <f>_xlfn.XLOOKUP(SSQ_Raw!W32,'SSQ Metadata'!$A$5:$A$8,'SSQ Metadata'!$B$5:$B$8)</f>
        <v>0</v>
      </c>
      <c r="X32" s="45">
        <f>_xlfn.XLOOKUP(SSQ_Raw!X32,'SSQ Metadata'!$A$5:$A$8,'SSQ Metadata'!$B$5:$B$8)</f>
        <v>0</v>
      </c>
      <c r="Y32" s="45">
        <f>_xlfn.XLOOKUP(SSQ_Raw!Y32,'SSQ Metadata'!$A$5:$A$8,'SSQ Metadata'!$B$5:$B$8)</f>
        <v>0</v>
      </c>
      <c r="Z32" s="45">
        <f>_xlfn.XLOOKUP(SSQ_Raw!Z32,'SSQ Metadata'!$A$5:$A$8,'SSQ Metadata'!$B$5:$B$8)</f>
        <v>2</v>
      </c>
      <c r="AA32" s="45">
        <f>_xlfn.XLOOKUP(SSQ_Raw!AA32,'SSQ Metadata'!$A$5:$A$8,'SSQ Metadata'!$B$5:$B$8)</f>
        <v>0</v>
      </c>
      <c r="AB32" s="45">
        <f>_xlfn.XLOOKUP(SSQ_Raw!AB32,'SSQ Metadata'!$A$5:$A$8,'SSQ Metadata'!$B$5:$B$8)</f>
        <v>1</v>
      </c>
      <c r="AC32" s="45">
        <f>_xlfn.XLOOKUP(SSQ_Raw!AC32,'SSQ Metadata'!$A$5:$A$8,'SSQ Metadata'!$B$5:$B$8)</f>
        <v>0</v>
      </c>
      <c r="AD32" s="45">
        <f>_xlfn.XLOOKUP(SSQ_Raw!AD32,'SSQ Metadata'!$A$5:$A$8,'SSQ Metadata'!$B$5:$B$8)</f>
        <v>1</v>
      </c>
      <c r="AE32" s="45">
        <f>_xlfn.XLOOKUP(SSQ_Raw!AE32,'SSQ Metadata'!$A$5:$A$8,'SSQ Metadata'!$B$5:$B$8)</f>
        <v>0</v>
      </c>
      <c r="AF32" s="45">
        <f>_xlfn.XLOOKUP(SSQ_Raw!AF32,'SSQ Metadata'!$A$5:$A$8,'SSQ Metadata'!$B$5:$B$8)</f>
        <v>0</v>
      </c>
      <c r="AG32" s="51">
        <f>_xlfn.XLOOKUP(SSQ_Raw!AG32,'SSQ Metadata'!$A$5:$A$8,'SSQ Metadata'!$B$5:$B$8)</f>
        <v>0</v>
      </c>
      <c r="AH32" s="3" t="s">
        <v>77</v>
      </c>
    </row>
    <row r="33" spans="1:34" x14ac:dyDescent="0.2">
      <c r="A33" s="65">
        <v>30</v>
      </c>
      <c r="B33" s="50">
        <f>_xlfn.XLOOKUP(SSQ_Raw!B33,'SSQ Metadata'!$A$5:$A$8,'SSQ Metadata'!$B$5:$B$8)</f>
        <v>0</v>
      </c>
      <c r="C33" s="45">
        <f>_xlfn.XLOOKUP(SSQ_Raw!C33,'SSQ Metadata'!$A$5:$A$8,'SSQ Metadata'!$B$5:$B$8)</f>
        <v>1</v>
      </c>
      <c r="D33" s="45">
        <f>_xlfn.XLOOKUP(SSQ_Raw!D33,'SSQ Metadata'!$A$5:$A$8,'SSQ Metadata'!$B$5:$B$8)</f>
        <v>0</v>
      </c>
      <c r="E33" s="45">
        <f>_xlfn.XLOOKUP(SSQ_Raw!E33,'SSQ Metadata'!$A$5:$A$8,'SSQ Metadata'!$B$5:$B$8)</f>
        <v>0</v>
      </c>
      <c r="F33" s="45">
        <f>_xlfn.XLOOKUP(SSQ_Raw!F33,'SSQ Metadata'!$A$5:$A$8,'SSQ Metadata'!$B$5:$B$8)</f>
        <v>0</v>
      </c>
      <c r="G33" s="45">
        <f>_xlfn.XLOOKUP(SSQ_Raw!G33,'SSQ Metadata'!$A$5:$A$8,'SSQ Metadata'!$B$5:$B$8)</f>
        <v>0</v>
      </c>
      <c r="H33" s="45">
        <f>_xlfn.XLOOKUP(SSQ_Raw!H33,'SSQ Metadata'!$A$5:$A$8,'SSQ Metadata'!$B$5:$B$8)</f>
        <v>0</v>
      </c>
      <c r="I33" s="45">
        <f>_xlfn.XLOOKUP(SSQ_Raw!I33,'SSQ Metadata'!$A$5:$A$8,'SSQ Metadata'!$B$5:$B$8)</f>
        <v>0</v>
      </c>
      <c r="J33" s="45">
        <f>_xlfn.XLOOKUP(SSQ_Raw!J33,'SSQ Metadata'!$A$5:$A$8,'SSQ Metadata'!$B$5:$B$8)</f>
        <v>0</v>
      </c>
      <c r="K33" s="45">
        <f>_xlfn.XLOOKUP(SSQ_Raw!K33,'SSQ Metadata'!$A$5:$A$8,'SSQ Metadata'!$B$5:$B$8)</f>
        <v>0</v>
      </c>
      <c r="L33" s="45">
        <f>_xlfn.XLOOKUP(SSQ_Raw!L33,'SSQ Metadata'!$A$5:$A$8,'SSQ Metadata'!$B$5:$B$8)</f>
        <v>0</v>
      </c>
      <c r="M33" s="45">
        <f>_xlfn.XLOOKUP(SSQ_Raw!M33,'SSQ Metadata'!$A$5:$A$8,'SSQ Metadata'!$B$5:$B$8)</f>
        <v>0</v>
      </c>
      <c r="N33" s="45">
        <f>_xlfn.XLOOKUP(SSQ_Raw!N33,'SSQ Metadata'!$A$5:$A$8,'SSQ Metadata'!$B$5:$B$8)</f>
        <v>0</v>
      </c>
      <c r="O33" s="45">
        <f>_xlfn.XLOOKUP(SSQ_Raw!O33,'SSQ Metadata'!$A$5:$A$8,'SSQ Metadata'!$B$5:$B$8)</f>
        <v>0</v>
      </c>
      <c r="P33" s="45">
        <f>_xlfn.XLOOKUP(SSQ_Raw!P33,'SSQ Metadata'!$A$5:$A$8,'SSQ Metadata'!$B$5:$B$8)</f>
        <v>0</v>
      </c>
      <c r="Q33" s="45">
        <f>_xlfn.XLOOKUP(SSQ_Raw!Q33,'SSQ Metadata'!$A$5:$A$8,'SSQ Metadata'!$B$5:$B$8)</f>
        <v>0</v>
      </c>
      <c r="R33" s="45">
        <f>_xlfn.XLOOKUP(SSQ_Raw!R33,'SSQ Metadata'!$A$5:$A$8,'SSQ Metadata'!$B$5:$B$8)</f>
        <v>1</v>
      </c>
      <c r="S33" s="45">
        <f>_xlfn.XLOOKUP(SSQ_Raw!S33,'SSQ Metadata'!$A$5:$A$8,'SSQ Metadata'!$B$5:$B$8)</f>
        <v>3</v>
      </c>
      <c r="T33" s="45">
        <f>_xlfn.XLOOKUP(SSQ_Raw!T33,'SSQ Metadata'!$A$5:$A$8,'SSQ Metadata'!$B$5:$B$8)</f>
        <v>1</v>
      </c>
      <c r="U33" s="45">
        <f>_xlfn.XLOOKUP(SSQ_Raw!U33,'SSQ Metadata'!$A$5:$A$8,'SSQ Metadata'!$B$5:$B$8)</f>
        <v>1</v>
      </c>
      <c r="V33" s="45">
        <f>_xlfn.XLOOKUP(SSQ_Raw!V33,'SSQ Metadata'!$A$5:$A$8,'SSQ Metadata'!$B$5:$B$8)</f>
        <v>1</v>
      </c>
      <c r="W33" s="45">
        <f>_xlfn.XLOOKUP(SSQ_Raw!W33,'SSQ Metadata'!$A$5:$A$8,'SSQ Metadata'!$B$5:$B$8)</f>
        <v>0</v>
      </c>
      <c r="X33" s="45">
        <f>_xlfn.XLOOKUP(SSQ_Raw!X33,'SSQ Metadata'!$A$5:$A$8,'SSQ Metadata'!$B$5:$B$8)</f>
        <v>0</v>
      </c>
      <c r="Y33" s="45">
        <f>_xlfn.XLOOKUP(SSQ_Raw!Y33,'SSQ Metadata'!$A$5:$A$8,'SSQ Metadata'!$B$5:$B$8)</f>
        <v>0</v>
      </c>
      <c r="Z33" s="45">
        <f>_xlfn.XLOOKUP(SSQ_Raw!Z33,'SSQ Metadata'!$A$5:$A$8,'SSQ Metadata'!$B$5:$B$8)</f>
        <v>1</v>
      </c>
      <c r="AA33" s="45">
        <f>_xlfn.XLOOKUP(SSQ_Raw!AA33,'SSQ Metadata'!$A$5:$A$8,'SSQ Metadata'!$B$5:$B$8)</f>
        <v>1</v>
      </c>
      <c r="AB33" s="45">
        <f>_xlfn.XLOOKUP(SSQ_Raw!AB33,'SSQ Metadata'!$A$5:$A$8,'SSQ Metadata'!$B$5:$B$8)</f>
        <v>0</v>
      </c>
      <c r="AC33" s="45">
        <f>_xlfn.XLOOKUP(SSQ_Raw!AC33,'SSQ Metadata'!$A$5:$A$8,'SSQ Metadata'!$B$5:$B$8)</f>
        <v>0</v>
      </c>
      <c r="AD33" s="45">
        <f>_xlfn.XLOOKUP(SSQ_Raw!AD33,'SSQ Metadata'!$A$5:$A$8,'SSQ Metadata'!$B$5:$B$8)</f>
        <v>0</v>
      </c>
      <c r="AE33" s="45">
        <f>_xlfn.XLOOKUP(SSQ_Raw!AE33,'SSQ Metadata'!$A$5:$A$8,'SSQ Metadata'!$B$5:$B$8)</f>
        <v>0</v>
      </c>
      <c r="AF33" s="45">
        <f>_xlfn.XLOOKUP(SSQ_Raw!AF33,'SSQ Metadata'!$A$5:$A$8,'SSQ Metadata'!$B$5:$B$8)</f>
        <v>0</v>
      </c>
      <c r="AG33" s="51">
        <f>_xlfn.XLOOKUP(SSQ_Raw!AG33,'SSQ Metadata'!$A$5:$A$8,'SSQ Metadata'!$B$5:$B$8)</f>
        <v>0</v>
      </c>
      <c r="AH33" s="3" t="s">
        <v>78</v>
      </c>
    </row>
    <row r="34" spans="1:34" x14ac:dyDescent="0.2">
      <c r="A34" s="65">
        <v>31</v>
      </c>
      <c r="B34" s="50">
        <f>_xlfn.XLOOKUP(SSQ_Raw!B34,'SSQ Metadata'!$A$5:$A$8,'SSQ Metadata'!$B$5:$B$8)</f>
        <v>0</v>
      </c>
      <c r="C34" s="45">
        <f>_xlfn.XLOOKUP(SSQ_Raw!C34,'SSQ Metadata'!$A$5:$A$8,'SSQ Metadata'!$B$5:$B$8)</f>
        <v>0</v>
      </c>
      <c r="D34" s="45">
        <f>_xlfn.XLOOKUP(SSQ_Raw!D34,'SSQ Metadata'!$A$5:$A$8,'SSQ Metadata'!$B$5:$B$8)</f>
        <v>0</v>
      </c>
      <c r="E34" s="45">
        <f>_xlfn.XLOOKUP(SSQ_Raw!E34,'SSQ Metadata'!$A$5:$A$8,'SSQ Metadata'!$B$5:$B$8)</f>
        <v>0</v>
      </c>
      <c r="F34" s="45">
        <f>_xlfn.XLOOKUP(SSQ_Raw!F34,'SSQ Metadata'!$A$5:$A$8,'SSQ Metadata'!$B$5:$B$8)</f>
        <v>0</v>
      </c>
      <c r="G34" s="45">
        <f>_xlfn.XLOOKUP(SSQ_Raw!G34,'SSQ Metadata'!$A$5:$A$8,'SSQ Metadata'!$B$5:$B$8)</f>
        <v>0</v>
      </c>
      <c r="H34" s="45">
        <f>_xlfn.XLOOKUP(SSQ_Raw!H34,'SSQ Metadata'!$A$5:$A$8,'SSQ Metadata'!$B$5:$B$8)</f>
        <v>0</v>
      </c>
      <c r="I34" s="45">
        <f>_xlfn.XLOOKUP(SSQ_Raw!I34,'SSQ Metadata'!$A$5:$A$8,'SSQ Metadata'!$B$5:$B$8)</f>
        <v>0</v>
      </c>
      <c r="J34" s="45">
        <f>_xlfn.XLOOKUP(SSQ_Raw!J34,'SSQ Metadata'!$A$5:$A$8,'SSQ Metadata'!$B$5:$B$8)</f>
        <v>0</v>
      </c>
      <c r="K34" s="45">
        <f>_xlfn.XLOOKUP(SSQ_Raw!K34,'SSQ Metadata'!$A$5:$A$8,'SSQ Metadata'!$B$5:$B$8)</f>
        <v>0</v>
      </c>
      <c r="L34" s="45">
        <f>_xlfn.XLOOKUP(SSQ_Raw!L34,'SSQ Metadata'!$A$5:$A$8,'SSQ Metadata'!$B$5:$B$8)</f>
        <v>0</v>
      </c>
      <c r="M34" s="45">
        <f>_xlfn.XLOOKUP(SSQ_Raw!M34,'SSQ Metadata'!$A$5:$A$8,'SSQ Metadata'!$B$5:$B$8)</f>
        <v>0</v>
      </c>
      <c r="N34" s="45">
        <f>_xlfn.XLOOKUP(SSQ_Raw!N34,'SSQ Metadata'!$A$5:$A$8,'SSQ Metadata'!$B$5:$B$8)</f>
        <v>0</v>
      </c>
      <c r="O34" s="45">
        <f>_xlfn.XLOOKUP(SSQ_Raw!O34,'SSQ Metadata'!$A$5:$A$8,'SSQ Metadata'!$B$5:$B$8)</f>
        <v>0</v>
      </c>
      <c r="P34" s="45">
        <f>_xlfn.XLOOKUP(SSQ_Raw!P34,'SSQ Metadata'!$A$5:$A$8,'SSQ Metadata'!$B$5:$B$8)</f>
        <v>0</v>
      </c>
      <c r="Q34" s="45">
        <f>_xlfn.XLOOKUP(SSQ_Raw!Q34,'SSQ Metadata'!$A$5:$A$8,'SSQ Metadata'!$B$5:$B$8)</f>
        <v>0</v>
      </c>
      <c r="R34" s="45">
        <f>_xlfn.XLOOKUP(SSQ_Raw!R34,'SSQ Metadata'!$A$5:$A$8,'SSQ Metadata'!$B$5:$B$8)</f>
        <v>2</v>
      </c>
      <c r="S34" s="45">
        <f>_xlfn.XLOOKUP(SSQ_Raw!S34,'SSQ Metadata'!$A$5:$A$8,'SSQ Metadata'!$B$5:$B$8)</f>
        <v>2</v>
      </c>
      <c r="T34" s="45">
        <f>_xlfn.XLOOKUP(SSQ_Raw!T34,'SSQ Metadata'!$A$5:$A$8,'SSQ Metadata'!$B$5:$B$8)</f>
        <v>0</v>
      </c>
      <c r="U34" s="45">
        <f>_xlfn.XLOOKUP(SSQ_Raw!U34,'SSQ Metadata'!$A$5:$A$8,'SSQ Metadata'!$B$5:$B$8)</f>
        <v>3</v>
      </c>
      <c r="V34" s="45">
        <f>_xlfn.XLOOKUP(SSQ_Raw!V34,'SSQ Metadata'!$A$5:$A$8,'SSQ Metadata'!$B$5:$B$8)</f>
        <v>1</v>
      </c>
      <c r="W34" s="45">
        <f>_xlfn.XLOOKUP(SSQ_Raw!W34,'SSQ Metadata'!$A$5:$A$8,'SSQ Metadata'!$B$5:$B$8)</f>
        <v>0</v>
      </c>
      <c r="X34" s="45">
        <f>_xlfn.XLOOKUP(SSQ_Raw!X34,'SSQ Metadata'!$A$5:$A$8,'SSQ Metadata'!$B$5:$B$8)</f>
        <v>2</v>
      </c>
      <c r="Y34" s="45">
        <f>_xlfn.XLOOKUP(SSQ_Raw!Y34,'SSQ Metadata'!$A$5:$A$8,'SSQ Metadata'!$B$5:$B$8)</f>
        <v>0</v>
      </c>
      <c r="Z34" s="45">
        <f>_xlfn.XLOOKUP(SSQ_Raw!Z34,'SSQ Metadata'!$A$5:$A$8,'SSQ Metadata'!$B$5:$B$8)</f>
        <v>0</v>
      </c>
      <c r="AA34" s="45">
        <f>_xlfn.XLOOKUP(SSQ_Raw!AA34,'SSQ Metadata'!$A$5:$A$8,'SSQ Metadata'!$B$5:$B$8)</f>
        <v>0</v>
      </c>
      <c r="AB34" s="45">
        <f>_xlfn.XLOOKUP(SSQ_Raw!AB34,'SSQ Metadata'!$A$5:$A$8,'SSQ Metadata'!$B$5:$B$8)</f>
        <v>1</v>
      </c>
      <c r="AC34" s="45">
        <f>_xlfn.XLOOKUP(SSQ_Raw!AC34,'SSQ Metadata'!$A$5:$A$8,'SSQ Metadata'!$B$5:$B$8)</f>
        <v>0</v>
      </c>
      <c r="AD34" s="45">
        <f>_xlfn.XLOOKUP(SSQ_Raw!AD34,'SSQ Metadata'!$A$5:$A$8,'SSQ Metadata'!$B$5:$B$8)</f>
        <v>0</v>
      </c>
      <c r="AE34" s="45">
        <f>_xlfn.XLOOKUP(SSQ_Raw!AE34,'SSQ Metadata'!$A$5:$A$8,'SSQ Metadata'!$B$5:$B$8)</f>
        <v>0</v>
      </c>
      <c r="AF34" s="45">
        <f>_xlfn.XLOOKUP(SSQ_Raw!AF34,'SSQ Metadata'!$A$5:$A$8,'SSQ Metadata'!$B$5:$B$8)</f>
        <v>0</v>
      </c>
      <c r="AG34" s="51">
        <f>_xlfn.XLOOKUP(SSQ_Raw!AG34,'SSQ Metadata'!$A$5:$A$8,'SSQ Metadata'!$B$5:$B$8)</f>
        <v>0</v>
      </c>
      <c r="AH34" s="3" t="s">
        <v>79</v>
      </c>
    </row>
    <row r="35" spans="1:34" x14ac:dyDescent="0.2">
      <c r="A35" s="65">
        <v>32</v>
      </c>
      <c r="B35" s="50">
        <f>_xlfn.XLOOKUP(SSQ_Raw!B35,'SSQ Metadata'!$A$5:$A$8,'SSQ Metadata'!$B$5:$B$8)</f>
        <v>0</v>
      </c>
      <c r="C35" s="45">
        <f>_xlfn.XLOOKUP(SSQ_Raw!C35,'SSQ Metadata'!$A$5:$A$8,'SSQ Metadata'!$B$5:$B$8)</f>
        <v>1</v>
      </c>
      <c r="D35" s="45">
        <f>_xlfn.XLOOKUP(SSQ_Raw!D35,'SSQ Metadata'!$A$5:$A$8,'SSQ Metadata'!$B$5:$B$8)</f>
        <v>0</v>
      </c>
      <c r="E35" s="45">
        <f>_xlfn.XLOOKUP(SSQ_Raw!E35,'SSQ Metadata'!$A$5:$A$8,'SSQ Metadata'!$B$5:$B$8)</f>
        <v>0</v>
      </c>
      <c r="F35" s="45">
        <f>_xlfn.XLOOKUP(SSQ_Raw!F35,'SSQ Metadata'!$A$5:$A$8,'SSQ Metadata'!$B$5:$B$8)</f>
        <v>0</v>
      </c>
      <c r="G35" s="45">
        <f>_xlfn.XLOOKUP(SSQ_Raw!G35,'SSQ Metadata'!$A$5:$A$8,'SSQ Metadata'!$B$5:$B$8)</f>
        <v>0</v>
      </c>
      <c r="H35" s="45">
        <f>_xlfn.XLOOKUP(SSQ_Raw!H35,'SSQ Metadata'!$A$5:$A$8,'SSQ Metadata'!$B$5:$B$8)</f>
        <v>0</v>
      </c>
      <c r="I35" s="45">
        <f>_xlfn.XLOOKUP(SSQ_Raw!I35,'SSQ Metadata'!$A$5:$A$8,'SSQ Metadata'!$B$5:$B$8)</f>
        <v>0</v>
      </c>
      <c r="J35" s="45">
        <f>_xlfn.XLOOKUP(SSQ_Raw!J35,'SSQ Metadata'!$A$5:$A$8,'SSQ Metadata'!$B$5:$B$8)</f>
        <v>1</v>
      </c>
      <c r="K35" s="45">
        <f>_xlfn.XLOOKUP(SSQ_Raw!K35,'SSQ Metadata'!$A$5:$A$8,'SSQ Metadata'!$B$5:$B$8)</f>
        <v>0</v>
      </c>
      <c r="L35" s="45">
        <f>_xlfn.XLOOKUP(SSQ_Raw!L35,'SSQ Metadata'!$A$5:$A$8,'SSQ Metadata'!$B$5:$B$8)</f>
        <v>0</v>
      </c>
      <c r="M35" s="45">
        <f>_xlfn.XLOOKUP(SSQ_Raw!M35,'SSQ Metadata'!$A$5:$A$8,'SSQ Metadata'!$B$5:$B$8)</f>
        <v>0</v>
      </c>
      <c r="N35" s="45">
        <f>_xlfn.XLOOKUP(SSQ_Raw!N35,'SSQ Metadata'!$A$5:$A$8,'SSQ Metadata'!$B$5:$B$8)</f>
        <v>0</v>
      </c>
      <c r="O35" s="45">
        <f>_xlfn.XLOOKUP(SSQ_Raw!O35,'SSQ Metadata'!$A$5:$A$8,'SSQ Metadata'!$B$5:$B$8)</f>
        <v>0</v>
      </c>
      <c r="P35" s="45">
        <f>_xlfn.XLOOKUP(SSQ_Raw!P35,'SSQ Metadata'!$A$5:$A$8,'SSQ Metadata'!$B$5:$B$8)</f>
        <v>0</v>
      </c>
      <c r="Q35" s="45">
        <f>_xlfn.XLOOKUP(SSQ_Raw!Q35,'SSQ Metadata'!$A$5:$A$8,'SSQ Metadata'!$B$5:$B$8)</f>
        <v>0</v>
      </c>
      <c r="R35" s="45">
        <f>_xlfn.XLOOKUP(SSQ_Raw!R35,'SSQ Metadata'!$A$5:$A$8,'SSQ Metadata'!$B$5:$B$8)</f>
        <v>1</v>
      </c>
      <c r="S35" s="45">
        <f>_xlfn.XLOOKUP(SSQ_Raw!S35,'SSQ Metadata'!$A$5:$A$8,'SSQ Metadata'!$B$5:$B$8)</f>
        <v>1</v>
      </c>
      <c r="T35" s="45">
        <f>_xlfn.XLOOKUP(SSQ_Raw!T35,'SSQ Metadata'!$A$5:$A$8,'SSQ Metadata'!$B$5:$B$8)</f>
        <v>0</v>
      </c>
      <c r="U35" s="45">
        <f>_xlfn.XLOOKUP(SSQ_Raw!U35,'SSQ Metadata'!$A$5:$A$8,'SSQ Metadata'!$B$5:$B$8)</f>
        <v>2</v>
      </c>
      <c r="V35" s="45">
        <f>_xlfn.XLOOKUP(SSQ_Raw!V35,'SSQ Metadata'!$A$5:$A$8,'SSQ Metadata'!$B$5:$B$8)</f>
        <v>0</v>
      </c>
      <c r="W35" s="45">
        <f>_xlfn.XLOOKUP(SSQ_Raw!W35,'SSQ Metadata'!$A$5:$A$8,'SSQ Metadata'!$B$5:$B$8)</f>
        <v>0</v>
      </c>
      <c r="X35" s="45">
        <f>_xlfn.XLOOKUP(SSQ_Raw!X35,'SSQ Metadata'!$A$5:$A$8,'SSQ Metadata'!$B$5:$B$8)</f>
        <v>0</v>
      </c>
      <c r="Y35" s="45">
        <f>_xlfn.XLOOKUP(SSQ_Raw!Y35,'SSQ Metadata'!$A$5:$A$8,'SSQ Metadata'!$B$5:$B$8)</f>
        <v>0</v>
      </c>
      <c r="Z35" s="45">
        <f>_xlfn.XLOOKUP(SSQ_Raw!Z35,'SSQ Metadata'!$A$5:$A$8,'SSQ Metadata'!$B$5:$B$8)</f>
        <v>2</v>
      </c>
      <c r="AA35" s="45">
        <f>_xlfn.XLOOKUP(SSQ_Raw!AA35,'SSQ Metadata'!$A$5:$A$8,'SSQ Metadata'!$B$5:$B$8)</f>
        <v>1</v>
      </c>
      <c r="AB35" s="45">
        <f>_xlfn.XLOOKUP(SSQ_Raw!AB35,'SSQ Metadata'!$A$5:$A$8,'SSQ Metadata'!$B$5:$B$8)</f>
        <v>0</v>
      </c>
      <c r="AC35" s="45">
        <f>_xlfn.XLOOKUP(SSQ_Raw!AC35,'SSQ Metadata'!$A$5:$A$8,'SSQ Metadata'!$B$5:$B$8)</f>
        <v>0</v>
      </c>
      <c r="AD35" s="45">
        <f>_xlfn.XLOOKUP(SSQ_Raw!AD35,'SSQ Metadata'!$A$5:$A$8,'SSQ Metadata'!$B$5:$B$8)</f>
        <v>0</v>
      </c>
      <c r="AE35" s="45">
        <f>_xlfn.XLOOKUP(SSQ_Raw!AE35,'SSQ Metadata'!$A$5:$A$8,'SSQ Metadata'!$B$5:$B$8)</f>
        <v>0</v>
      </c>
      <c r="AF35" s="45">
        <f>_xlfn.XLOOKUP(SSQ_Raw!AF35,'SSQ Metadata'!$A$5:$A$8,'SSQ Metadata'!$B$5:$B$8)</f>
        <v>0</v>
      </c>
      <c r="AG35" s="51">
        <f>_xlfn.XLOOKUP(SSQ_Raw!AG35,'SSQ Metadata'!$A$5:$A$8,'SSQ Metadata'!$B$5:$B$8)</f>
        <v>0</v>
      </c>
      <c r="AH35" s="3" t="s">
        <v>80</v>
      </c>
    </row>
    <row r="36" spans="1:34" x14ac:dyDescent="0.2">
      <c r="A36" s="65">
        <v>33</v>
      </c>
      <c r="B36" s="50">
        <f>_xlfn.XLOOKUP(SSQ_Raw!B36,'SSQ Metadata'!$A$5:$A$8,'SSQ Metadata'!$B$5:$B$8)</f>
        <v>0</v>
      </c>
      <c r="C36" s="45">
        <f>_xlfn.XLOOKUP(SSQ_Raw!C36,'SSQ Metadata'!$A$5:$A$8,'SSQ Metadata'!$B$5:$B$8)</f>
        <v>1</v>
      </c>
      <c r="D36" s="45">
        <f>_xlfn.XLOOKUP(SSQ_Raw!D36,'SSQ Metadata'!$A$5:$A$8,'SSQ Metadata'!$B$5:$B$8)</f>
        <v>1</v>
      </c>
      <c r="E36" s="45">
        <f>_xlfn.XLOOKUP(SSQ_Raw!E36,'SSQ Metadata'!$A$5:$A$8,'SSQ Metadata'!$B$5:$B$8)</f>
        <v>0</v>
      </c>
      <c r="F36" s="45">
        <f>_xlfn.XLOOKUP(SSQ_Raw!F36,'SSQ Metadata'!$A$5:$A$8,'SSQ Metadata'!$B$5:$B$8)</f>
        <v>0</v>
      </c>
      <c r="G36" s="45">
        <f>_xlfn.XLOOKUP(SSQ_Raw!G36,'SSQ Metadata'!$A$5:$A$8,'SSQ Metadata'!$B$5:$B$8)</f>
        <v>0</v>
      </c>
      <c r="H36" s="45">
        <f>_xlfn.XLOOKUP(SSQ_Raw!H36,'SSQ Metadata'!$A$5:$A$8,'SSQ Metadata'!$B$5:$B$8)</f>
        <v>0</v>
      </c>
      <c r="I36" s="45">
        <f>_xlfn.XLOOKUP(SSQ_Raw!I36,'SSQ Metadata'!$A$5:$A$8,'SSQ Metadata'!$B$5:$B$8)</f>
        <v>0</v>
      </c>
      <c r="J36" s="45">
        <f>_xlfn.XLOOKUP(SSQ_Raw!J36,'SSQ Metadata'!$A$5:$A$8,'SSQ Metadata'!$B$5:$B$8)</f>
        <v>1</v>
      </c>
      <c r="K36" s="45">
        <f>_xlfn.XLOOKUP(SSQ_Raw!K36,'SSQ Metadata'!$A$5:$A$8,'SSQ Metadata'!$B$5:$B$8)</f>
        <v>0</v>
      </c>
      <c r="L36" s="45">
        <f>_xlfn.XLOOKUP(SSQ_Raw!L36,'SSQ Metadata'!$A$5:$A$8,'SSQ Metadata'!$B$5:$B$8)</f>
        <v>0</v>
      </c>
      <c r="M36" s="45">
        <f>_xlfn.XLOOKUP(SSQ_Raw!M36,'SSQ Metadata'!$A$5:$A$8,'SSQ Metadata'!$B$5:$B$8)</f>
        <v>0</v>
      </c>
      <c r="N36" s="45">
        <f>_xlfn.XLOOKUP(SSQ_Raw!N36,'SSQ Metadata'!$A$5:$A$8,'SSQ Metadata'!$B$5:$B$8)</f>
        <v>0</v>
      </c>
      <c r="O36" s="45">
        <f>_xlfn.XLOOKUP(SSQ_Raw!O36,'SSQ Metadata'!$A$5:$A$8,'SSQ Metadata'!$B$5:$B$8)</f>
        <v>0</v>
      </c>
      <c r="P36" s="45">
        <f>_xlfn.XLOOKUP(SSQ_Raw!P36,'SSQ Metadata'!$A$5:$A$8,'SSQ Metadata'!$B$5:$B$8)</f>
        <v>0</v>
      </c>
      <c r="Q36" s="45">
        <f>_xlfn.XLOOKUP(SSQ_Raw!Q36,'SSQ Metadata'!$A$5:$A$8,'SSQ Metadata'!$B$5:$B$8)</f>
        <v>0</v>
      </c>
      <c r="R36" s="45">
        <f>_xlfn.XLOOKUP(SSQ_Raw!R36,'SSQ Metadata'!$A$5:$A$8,'SSQ Metadata'!$B$5:$B$8)</f>
        <v>0</v>
      </c>
      <c r="S36" s="45">
        <f>_xlfn.XLOOKUP(SSQ_Raw!S36,'SSQ Metadata'!$A$5:$A$8,'SSQ Metadata'!$B$5:$B$8)</f>
        <v>1</v>
      </c>
      <c r="T36" s="45">
        <f>_xlfn.XLOOKUP(SSQ_Raw!T36,'SSQ Metadata'!$A$5:$A$8,'SSQ Metadata'!$B$5:$B$8)</f>
        <v>0</v>
      </c>
      <c r="U36" s="45">
        <f>_xlfn.XLOOKUP(SSQ_Raw!U36,'SSQ Metadata'!$A$5:$A$8,'SSQ Metadata'!$B$5:$B$8)</f>
        <v>2</v>
      </c>
      <c r="V36" s="45">
        <f>_xlfn.XLOOKUP(SSQ_Raw!V36,'SSQ Metadata'!$A$5:$A$8,'SSQ Metadata'!$B$5:$B$8)</f>
        <v>0</v>
      </c>
      <c r="W36" s="45">
        <f>_xlfn.XLOOKUP(SSQ_Raw!W36,'SSQ Metadata'!$A$5:$A$8,'SSQ Metadata'!$B$5:$B$8)</f>
        <v>0</v>
      </c>
      <c r="X36" s="45">
        <f>_xlfn.XLOOKUP(SSQ_Raw!X36,'SSQ Metadata'!$A$5:$A$8,'SSQ Metadata'!$B$5:$B$8)</f>
        <v>0</v>
      </c>
      <c r="Y36" s="45">
        <f>_xlfn.XLOOKUP(SSQ_Raw!Y36,'SSQ Metadata'!$A$5:$A$8,'SSQ Metadata'!$B$5:$B$8)</f>
        <v>0</v>
      </c>
      <c r="Z36" s="45">
        <f>_xlfn.XLOOKUP(SSQ_Raw!Z36,'SSQ Metadata'!$A$5:$A$8,'SSQ Metadata'!$B$5:$B$8)</f>
        <v>0</v>
      </c>
      <c r="AA36" s="45">
        <f>_xlfn.XLOOKUP(SSQ_Raw!AA36,'SSQ Metadata'!$A$5:$A$8,'SSQ Metadata'!$B$5:$B$8)</f>
        <v>1</v>
      </c>
      <c r="AB36" s="45">
        <f>_xlfn.XLOOKUP(SSQ_Raw!AB36,'SSQ Metadata'!$A$5:$A$8,'SSQ Metadata'!$B$5:$B$8)</f>
        <v>0</v>
      </c>
      <c r="AC36" s="45">
        <f>_xlfn.XLOOKUP(SSQ_Raw!AC36,'SSQ Metadata'!$A$5:$A$8,'SSQ Metadata'!$B$5:$B$8)</f>
        <v>1</v>
      </c>
      <c r="AD36" s="45">
        <f>_xlfn.XLOOKUP(SSQ_Raw!AD36,'SSQ Metadata'!$A$5:$A$8,'SSQ Metadata'!$B$5:$B$8)</f>
        <v>0</v>
      </c>
      <c r="AE36" s="45">
        <f>_xlfn.XLOOKUP(SSQ_Raw!AE36,'SSQ Metadata'!$A$5:$A$8,'SSQ Metadata'!$B$5:$B$8)</f>
        <v>0</v>
      </c>
      <c r="AF36" s="45">
        <f>_xlfn.XLOOKUP(SSQ_Raw!AF36,'SSQ Metadata'!$A$5:$A$8,'SSQ Metadata'!$B$5:$B$8)</f>
        <v>0</v>
      </c>
      <c r="AG36" s="51">
        <f>_xlfn.XLOOKUP(SSQ_Raw!AG36,'SSQ Metadata'!$A$5:$A$8,'SSQ Metadata'!$B$5:$B$8)</f>
        <v>0</v>
      </c>
      <c r="AH36" s="3" t="s">
        <v>81</v>
      </c>
    </row>
    <row r="37" spans="1:34" x14ac:dyDescent="0.2">
      <c r="A37" s="65">
        <v>34</v>
      </c>
      <c r="B37" s="50">
        <f>_xlfn.XLOOKUP(SSQ_Raw!B37,'SSQ Metadata'!$A$5:$A$8,'SSQ Metadata'!$B$5:$B$8)</f>
        <v>0</v>
      </c>
      <c r="C37" s="45">
        <f>_xlfn.XLOOKUP(SSQ_Raw!C37,'SSQ Metadata'!$A$5:$A$8,'SSQ Metadata'!$B$5:$B$8)</f>
        <v>1</v>
      </c>
      <c r="D37" s="45">
        <f>_xlfn.XLOOKUP(SSQ_Raw!D37,'SSQ Metadata'!$A$5:$A$8,'SSQ Metadata'!$B$5:$B$8)</f>
        <v>0</v>
      </c>
      <c r="E37" s="45">
        <f>_xlfn.XLOOKUP(SSQ_Raw!E37,'SSQ Metadata'!$A$5:$A$8,'SSQ Metadata'!$B$5:$B$8)</f>
        <v>0</v>
      </c>
      <c r="F37" s="45">
        <f>_xlfn.XLOOKUP(SSQ_Raw!F37,'SSQ Metadata'!$A$5:$A$8,'SSQ Metadata'!$B$5:$B$8)</f>
        <v>1</v>
      </c>
      <c r="G37" s="45">
        <f>_xlfn.XLOOKUP(SSQ_Raw!G37,'SSQ Metadata'!$A$5:$A$8,'SSQ Metadata'!$B$5:$B$8)</f>
        <v>1</v>
      </c>
      <c r="H37" s="45">
        <f>_xlfn.XLOOKUP(SSQ_Raw!H37,'SSQ Metadata'!$A$5:$A$8,'SSQ Metadata'!$B$5:$B$8)</f>
        <v>2</v>
      </c>
      <c r="I37" s="45">
        <f>_xlfn.XLOOKUP(SSQ_Raw!I37,'SSQ Metadata'!$A$5:$A$8,'SSQ Metadata'!$B$5:$B$8)</f>
        <v>0</v>
      </c>
      <c r="J37" s="45">
        <f>_xlfn.XLOOKUP(SSQ_Raw!J37,'SSQ Metadata'!$A$5:$A$8,'SSQ Metadata'!$B$5:$B$8)</f>
        <v>1</v>
      </c>
      <c r="K37" s="45">
        <f>_xlfn.XLOOKUP(SSQ_Raw!K37,'SSQ Metadata'!$A$5:$A$8,'SSQ Metadata'!$B$5:$B$8)</f>
        <v>0</v>
      </c>
      <c r="L37" s="45">
        <f>_xlfn.XLOOKUP(SSQ_Raw!L37,'SSQ Metadata'!$A$5:$A$8,'SSQ Metadata'!$B$5:$B$8)</f>
        <v>0</v>
      </c>
      <c r="M37" s="45">
        <f>_xlfn.XLOOKUP(SSQ_Raw!M37,'SSQ Metadata'!$A$5:$A$8,'SSQ Metadata'!$B$5:$B$8)</f>
        <v>0</v>
      </c>
      <c r="N37" s="45">
        <f>_xlfn.XLOOKUP(SSQ_Raw!N37,'SSQ Metadata'!$A$5:$A$8,'SSQ Metadata'!$B$5:$B$8)</f>
        <v>0</v>
      </c>
      <c r="O37" s="45">
        <f>_xlfn.XLOOKUP(SSQ_Raw!O37,'SSQ Metadata'!$A$5:$A$8,'SSQ Metadata'!$B$5:$B$8)</f>
        <v>0</v>
      </c>
      <c r="P37" s="45">
        <f>_xlfn.XLOOKUP(SSQ_Raw!P37,'SSQ Metadata'!$A$5:$A$8,'SSQ Metadata'!$B$5:$B$8)</f>
        <v>0</v>
      </c>
      <c r="Q37" s="45">
        <f>_xlfn.XLOOKUP(SSQ_Raw!Q37,'SSQ Metadata'!$A$5:$A$8,'SSQ Metadata'!$B$5:$B$8)</f>
        <v>0</v>
      </c>
      <c r="R37" s="45">
        <f>_xlfn.XLOOKUP(SSQ_Raw!R37,'SSQ Metadata'!$A$5:$A$8,'SSQ Metadata'!$B$5:$B$8)</f>
        <v>0</v>
      </c>
      <c r="S37" s="45">
        <f>_xlfn.XLOOKUP(SSQ_Raw!S37,'SSQ Metadata'!$A$5:$A$8,'SSQ Metadata'!$B$5:$B$8)</f>
        <v>0</v>
      </c>
      <c r="T37" s="45">
        <f>_xlfn.XLOOKUP(SSQ_Raw!T37,'SSQ Metadata'!$A$5:$A$8,'SSQ Metadata'!$B$5:$B$8)</f>
        <v>0</v>
      </c>
      <c r="U37" s="45">
        <f>_xlfn.XLOOKUP(SSQ_Raw!U37,'SSQ Metadata'!$A$5:$A$8,'SSQ Metadata'!$B$5:$B$8)</f>
        <v>1</v>
      </c>
      <c r="V37" s="45">
        <f>_xlfn.XLOOKUP(SSQ_Raw!V37,'SSQ Metadata'!$A$5:$A$8,'SSQ Metadata'!$B$5:$B$8)</f>
        <v>0</v>
      </c>
      <c r="W37" s="45">
        <f>_xlfn.XLOOKUP(SSQ_Raw!W37,'SSQ Metadata'!$A$5:$A$8,'SSQ Metadata'!$B$5:$B$8)</f>
        <v>0</v>
      </c>
      <c r="X37" s="45">
        <f>_xlfn.XLOOKUP(SSQ_Raw!X37,'SSQ Metadata'!$A$5:$A$8,'SSQ Metadata'!$B$5:$B$8)</f>
        <v>1</v>
      </c>
      <c r="Y37" s="45">
        <f>_xlfn.XLOOKUP(SSQ_Raw!Y37,'SSQ Metadata'!$A$5:$A$8,'SSQ Metadata'!$B$5:$B$8)</f>
        <v>0</v>
      </c>
      <c r="Z37" s="45">
        <f>_xlfn.XLOOKUP(SSQ_Raw!Z37,'SSQ Metadata'!$A$5:$A$8,'SSQ Metadata'!$B$5:$B$8)</f>
        <v>0</v>
      </c>
      <c r="AA37" s="45">
        <f>_xlfn.XLOOKUP(SSQ_Raw!AA37,'SSQ Metadata'!$A$5:$A$8,'SSQ Metadata'!$B$5:$B$8)</f>
        <v>0</v>
      </c>
      <c r="AB37" s="45">
        <f>_xlfn.XLOOKUP(SSQ_Raw!AB37,'SSQ Metadata'!$A$5:$A$8,'SSQ Metadata'!$B$5:$B$8)</f>
        <v>0</v>
      </c>
      <c r="AC37" s="45">
        <f>_xlfn.XLOOKUP(SSQ_Raw!AC37,'SSQ Metadata'!$A$5:$A$8,'SSQ Metadata'!$B$5:$B$8)</f>
        <v>0</v>
      </c>
      <c r="AD37" s="45">
        <f>_xlfn.XLOOKUP(SSQ_Raw!AD37,'SSQ Metadata'!$A$5:$A$8,'SSQ Metadata'!$B$5:$B$8)</f>
        <v>0</v>
      </c>
      <c r="AE37" s="45">
        <f>_xlfn.XLOOKUP(SSQ_Raw!AE37,'SSQ Metadata'!$A$5:$A$8,'SSQ Metadata'!$B$5:$B$8)</f>
        <v>0</v>
      </c>
      <c r="AF37" s="45">
        <f>_xlfn.XLOOKUP(SSQ_Raw!AF37,'SSQ Metadata'!$A$5:$A$8,'SSQ Metadata'!$B$5:$B$8)</f>
        <v>0</v>
      </c>
      <c r="AG37" s="51">
        <f>_xlfn.XLOOKUP(SSQ_Raw!AG37,'SSQ Metadata'!$A$5:$A$8,'SSQ Metadata'!$B$5:$B$8)</f>
        <v>1</v>
      </c>
      <c r="AH37" s="3" t="s">
        <v>84</v>
      </c>
    </row>
    <row r="38" spans="1:34" x14ac:dyDescent="0.2">
      <c r="A38" s="65">
        <v>35</v>
      </c>
      <c r="B38" s="50">
        <f>_xlfn.XLOOKUP(SSQ_Raw!B38,'SSQ Metadata'!$A$5:$A$8,'SSQ Metadata'!$B$5:$B$8)</f>
        <v>0</v>
      </c>
      <c r="C38" s="45">
        <f>_xlfn.XLOOKUP(SSQ_Raw!C38,'SSQ Metadata'!$A$5:$A$8,'SSQ Metadata'!$B$5:$B$8)</f>
        <v>1</v>
      </c>
      <c r="D38" s="45">
        <f>_xlfn.XLOOKUP(SSQ_Raw!D38,'SSQ Metadata'!$A$5:$A$8,'SSQ Metadata'!$B$5:$B$8)</f>
        <v>0</v>
      </c>
      <c r="E38" s="45">
        <f>_xlfn.XLOOKUP(SSQ_Raw!E38,'SSQ Metadata'!$A$5:$A$8,'SSQ Metadata'!$B$5:$B$8)</f>
        <v>1</v>
      </c>
      <c r="F38" s="45">
        <f>_xlfn.XLOOKUP(SSQ_Raw!F38,'SSQ Metadata'!$A$5:$A$8,'SSQ Metadata'!$B$5:$B$8)</f>
        <v>0</v>
      </c>
      <c r="G38" s="45">
        <f>_xlfn.XLOOKUP(SSQ_Raw!G38,'SSQ Metadata'!$A$5:$A$8,'SSQ Metadata'!$B$5:$B$8)</f>
        <v>0</v>
      </c>
      <c r="H38" s="45">
        <f>_xlfn.XLOOKUP(SSQ_Raw!H38,'SSQ Metadata'!$A$5:$A$8,'SSQ Metadata'!$B$5:$B$8)</f>
        <v>0</v>
      </c>
      <c r="I38" s="45">
        <f>_xlfn.XLOOKUP(SSQ_Raw!I38,'SSQ Metadata'!$A$5:$A$8,'SSQ Metadata'!$B$5:$B$8)</f>
        <v>0</v>
      </c>
      <c r="J38" s="45">
        <f>_xlfn.XLOOKUP(SSQ_Raw!J38,'SSQ Metadata'!$A$5:$A$8,'SSQ Metadata'!$B$5:$B$8)</f>
        <v>0</v>
      </c>
      <c r="K38" s="45">
        <f>_xlfn.XLOOKUP(SSQ_Raw!K38,'SSQ Metadata'!$A$5:$A$8,'SSQ Metadata'!$B$5:$B$8)</f>
        <v>0</v>
      </c>
      <c r="L38" s="45">
        <f>_xlfn.XLOOKUP(SSQ_Raw!L38,'SSQ Metadata'!$A$5:$A$8,'SSQ Metadata'!$B$5:$B$8)</f>
        <v>1</v>
      </c>
      <c r="M38" s="45">
        <f>_xlfn.XLOOKUP(SSQ_Raw!M38,'SSQ Metadata'!$A$5:$A$8,'SSQ Metadata'!$B$5:$B$8)</f>
        <v>0</v>
      </c>
      <c r="N38" s="45">
        <f>_xlfn.XLOOKUP(SSQ_Raw!N38,'SSQ Metadata'!$A$5:$A$8,'SSQ Metadata'!$B$5:$B$8)</f>
        <v>0</v>
      </c>
      <c r="O38" s="45">
        <f>_xlfn.XLOOKUP(SSQ_Raw!O38,'SSQ Metadata'!$A$5:$A$8,'SSQ Metadata'!$B$5:$B$8)</f>
        <v>0</v>
      </c>
      <c r="P38" s="45">
        <f>_xlfn.XLOOKUP(SSQ_Raw!P38,'SSQ Metadata'!$A$5:$A$8,'SSQ Metadata'!$B$5:$B$8)</f>
        <v>0</v>
      </c>
      <c r="Q38" s="45">
        <f>_xlfn.XLOOKUP(SSQ_Raw!Q38,'SSQ Metadata'!$A$5:$A$8,'SSQ Metadata'!$B$5:$B$8)</f>
        <v>0</v>
      </c>
      <c r="R38" s="45">
        <f>_xlfn.XLOOKUP(SSQ_Raw!R38,'SSQ Metadata'!$A$5:$A$8,'SSQ Metadata'!$B$5:$B$8)</f>
        <v>1</v>
      </c>
      <c r="S38" s="45">
        <f>_xlfn.XLOOKUP(SSQ_Raw!S38,'SSQ Metadata'!$A$5:$A$8,'SSQ Metadata'!$B$5:$B$8)</f>
        <v>2</v>
      </c>
      <c r="T38" s="45">
        <f>_xlfn.XLOOKUP(SSQ_Raw!T38,'SSQ Metadata'!$A$5:$A$8,'SSQ Metadata'!$B$5:$B$8)</f>
        <v>2</v>
      </c>
      <c r="U38" s="45">
        <f>_xlfn.XLOOKUP(SSQ_Raw!U38,'SSQ Metadata'!$A$5:$A$8,'SSQ Metadata'!$B$5:$B$8)</f>
        <v>2</v>
      </c>
      <c r="V38" s="45">
        <f>_xlfn.XLOOKUP(SSQ_Raw!V38,'SSQ Metadata'!$A$5:$A$8,'SSQ Metadata'!$B$5:$B$8)</f>
        <v>0</v>
      </c>
      <c r="W38" s="45">
        <f>_xlfn.XLOOKUP(SSQ_Raw!W38,'SSQ Metadata'!$A$5:$A$8,'SSQ Metadata'!$B$5:$B$8)</f>
        <v>0</v>
      </c>
      <c r="X38" s="45">
        <f>_xlfn.XLOOKUP(SSQ_Raw!X38,'SSQ Metadata'!$A$5:$A$8,'SSQ Metadata'!$B$5:$B$8)</f>
        <v>0</v>
      </c>
      <c r="Y38" s="45">
        <f>_xlfn.XLOOKUP(SSQ_Raw!Y38,'SSQ Metadata'!$A$5:$A$8,'SSQ Metadata'!$B$5:$B$8)</f>
        <v>0</v>
      </c>
      <c r="Z38" s="45">
        <f>_xlfn.XLOOKUP(SSQ_Raw!Z38,'SSQ Metadata'!$A$5:$A$8,'SSQ Metadata'!$B$5:$B$8)</f>
        <v>0</v>
      </c>
      <c r="AA38" s="45">
        <f>_xlfn.XLOOKUP(SSQ_Raw!AA38,'SSQ Metadata'!$A$5:$A$8,'SSQ Metadata'!$B$5:$B$8)</f>
        <v>2</v>
      </c>
      <c r="AB38" s="45">
        <f>_xlfn.XLOOKUP(SSQ_Raw!AB38,'SSQ Metadata'!$A$5:$A$8,'SSQ Metadata'!$B$5:$B$8)</f>
        <v>1</v>
      </c>
      <c r="AC38" s="45">
        <f>_xlfn.XLOOKUP(SSQ_Raw!AC38,'SSQ Metadata'!$A$5:$A$8,'SSQ Metadata'!$B$5:$B$8)</f>
        <v>0</v>
      </c>
      <c r="AD38" s="45">
        <f>_xlfn.XLOOKUP(SSQ_Raw!AD38,'SSQ Metadata'!$A$5:$A$8,'SSQ Metadata'!$B$5:$B$8)</f>
        <v>0</v>
      </c>
      <c r="AE38" s="45">
        <f>_xlfn.XLOOKUP(SSQ_Raw!AE38,'SSQ Metadata'!$A$5:$A$8,'SSQ Metadata'!$B$5:$B$8)</f>
        <v>0</v>
      </c>
      <c r="AF38" s="45">
        <f>_xlfn.XLOOKUP(SSQ_Raw!AF38,'SSQ Metadata'!$A$5:$A$8,'SSQ Metadata'!$B$5:$B$8)</f>
        <v>2</v>
      </c>
      <c r="AG38" s="51">
        <f>_xlfn.XLOOKUP(SSQ_Raw!AG38,'SSQ Metadata'!$A$5:$A$8,'SSQ Metadata'!$B$5:$B$8)</f>
        <v>0</v>
      </c>
      <c r="AH38" s="3" t="s">
        <v>82</v>
      </c>
    </row>
    <row r="39" spans="1:34" x14ac:dyDescent="0.2">
      <c r="A39" s="65">
        <v>36</v>
      </c>
      <c r="B39" s="50">
        <f>_xlfn.XLOOKUP(SSQ_Raw!B39,'SSQ Metadata'!$A$5:$A$8,'SSQ Metadata'!$B$5:$B$8)</f>
        <v>0</v>
      </c>
      <c r="C39" s="45">
        <f>_xlfn.XLOOKUP(SSQ_Raw!C39,'SSQ Metadata'!$A$5:$A$8,'SSQ Metadata'!$B$5:$B$8)</f>
        <v>1</v>
      </c>
      <c r="D39" s="45">
        <f>_xlfn.XLOOKUP(SSQ_Raw!D39,'SSQ Metadata'!$A$5:$A$8,'SSQ Metadata'!$B$5:$B$8)</f>
        <v>0</v>
      </c>
      <c r="E39" s="45">
        <f>_xlfn.XLOOKUP(SSQ_Raw!E39,'SSQ Metadata'!$A$5:$A$8,'SSQ Metadata'!$B$5:$B$8)</f>
        <v>0</v>
      </c>
      <c r="F39" s="45">
        <f>_xlfn.XLOOKUP(SSQ_Raw!F39,'SSQ Metadata'!$A$5:$A$8,'SSQ Metadata'!$B$5:$B$8)</f>
        <v>1</v>
      </c>
      <c r="G39" s="45">
        <f>_xlfn.XLOOKUP(SSQ_Raw!G39,'SSQ Metadata'!$A$5:$A$8,'SSQ Metadata'!$B$5:$B$8)</f>
        <v>0</v>
      </c>
      <c r="H39" s="45">
        <f>_xlfn.XLOOKUP(SSQ_Raw!H39,'SSQ Metadata'!$A$5:$A$8,'SSQ Metadata'!$B$5:$B$8)</f>
        <v>1</v>
      </c>
      <c r="I39" s="45">
        <f>_xlfn.XLOOKUP(SSQ_Raw!I39,'SSQ Metadata'!$A$5:$A$8,'SSQ Metadata'!$B$5:$B$8)</f>
        <v>0</v>
      </c>
      <c r="J39" s="45">
        <f>_xlfn.XLOOKUP(SSQ_Raw!J39,'SSQ Metadata'!$A$5:$A$8,'SSQ Metadata'!$B$5:$B$8)</f>
        <v>1</v>
      </c>
      <c r="K39" s="45">
        <f>_xlfn.XLOOKUP(SSQ_Raw!K39,'SSQ Metadata'!$A$5:$A$8,'SSQ Metadata'!$B$5:$B$8)</f>
        <v>1</v>
      </c>
      <c r="L39" s="45">
        <f>_xlfn.XLOOKUP(SSQ_Raw!L39,'SSQ Metadata'!$A$5:$A$8,'SSQ Metadata'!$B$5:$B$8)</f>
        <v>0</v>
      </c>
      <c r="M39" s="45">
        <f>_xlfn.XLOOKUP(SSQ_Raw!M39,'SSQ Metadata'!$A$5:$A$8,'SSQ Metadata'!$B$5:$B$8)</f>
        <v>0</v>
      </c>
      <c r="N39" s="45">
        <f>_xlfn.XLOOKUP(SSQ_Raw!N39,'SSQ Metadata'!$A$5:$A$8,'SSQ Metadata'!$B$5:$B$8)</f>
        <v>1</v>
      </c>
      <c r="O39" s="45">
        <f>_xlfn.XLOOKUP(SSQ_Raw!O39,'SSQ Metadata'!$A$5:$A$8,'SSQ Metadata'!$B$5:$B$8)</f>
        <v>0</v>
      </c>
      <c r="P39" s="45">
        <f>_xlfn.XLOOKUP(SSQ_Raw!P39,'SSQ Metadata'!$A$5:$A$8,'SSQ Metadata'!$B$5:$B$8)</f>
        <v>0</v>
      </c>
      <c r="Q39" s="45">
        <f>_xlfn.XLOOKUP(SSQ_Raw!Q39,'SSQ Metadata'!$A$5:$A$8,'SSQ Metadata'!$B$5:$B$8)</f>
        <v>0</v>
      </c>
      <c r="R39" s="45">
        <f>_xlfn.XLOOKUP(SSQ_Raw!R39,'SSQ Metadata'!$A$5:$A$8,'SSQ Metadata'!$B$5:$B$8)</f>
        <v>0</v>
      </c>
      <c r="S39" s="45">
        <f>_xlfn.XLOOKUP(SSQ_Raw!S39,'SSQ Metadata'!$A$5:$A$8,'SSQ Metadata'!$B$5:$B$8)</f>
        <v>0</v>
      </c>
      <c r="T39" s="45">
        <f>_xlfn.XLOOKUP(SSQ_Raw!T39,'SSQ Metadata'!$A$5:$A$8,'SSQ Metadata'!$B$5:$B$8)</f>
        <v>0</v>
      </c>
      <c r="U39" s="45">
        <f>_xlfn.XLOOKUP(SSQ_Raw!U39,'SSQ Metadata'!$A$5:$A$8,'SSQ Metadata'!$B$5:$B$8)</f>
        <v>2</v>
      </c>
      <c r="V39" s="45">
        <f>_xlfn.XLOOKUP(SSQ_Raw!V39,'SSQ Metadata'!$A$5:$A$8,'SSQ Metadata'!$B$5:$B$8)</f>
        <v>1</v>
      </c>
      <c r="W39" s="45">
        <f>_xlfn.XLOOKUP(SSQ_Raw!W39,'SSQ Metadata'!$A$5:$A$8,'SSQ Metadata'!$B$5:$B$8)</f>
        <v>0</v>
      </c>
      <c r="X39" s="45">
        <f>_xlfn.XLOOKUP(SSQ_Raw!X39,'SSQ Metadata'!$A$5:$A$8,'SSQ Metadata'!$B$5:$B$8)</f>
        <v>0</v>
      </c>
      <c r="Y39" s="45">
        <f>_xlfn.XLOOKUP(SSQ_Raw!Y39,'SSQ Metadata'!$A$5:$A$8,'SSQ Metadata'!$B$5:$B$8)</f>
        <v>0</v>
      </c>
      <c r="Z39" s="45">
        <f>_xlfn.XLOOKUP(SSQ_Raw!Z39,'SSQ Metadata'!$A$5:$A$8,'SSQ Metadata'!$B$5:$B$8)</f>
        <v>1</v>
      </c>
      <c r="AA39" s="45">
        <f>_xlfn.XLOOKUP(SSQ_Raw!AA39,'SSQ Metadata'!$A$5:$A$8,'SSQ Metadata'!$B$5:$B$8)</f>
        <v>0</v>
      </c>
      <c r="AB39" s="45">
        <f>_xlfn.XLOOKUP(SSQ_Raw!AB39,'SSQ Metadata'!$A$5:$A$8,'SSQ Metadata'!$B$5:$B$8)</f>
        <v>0</v>
      </c>
      <c r="AC39" s="45">
        <f>_xlfn.XLOOKUP(SSQ_Raw!AC39,'SSQ Metadata'!$A$5:$A$8,'SSQ Metadata'!$B$5:$B$8)</f>
        <v>0</v>
      </c>
      <c r="AD39" s="45">
        <f>_xlfn.XLOOKUP(SSQ_Raw!AD39,'SSQ Metadata'!$A$5:$A$8,'SSQ Metadata'!$B$5:$B$8)</f>
        <v>0</v>
      </c>
      <c r="AE39" s="45">
        <f>_xlfn.XLOOKUP(SSQ_Raw!AE39,'SSQ Metadata'!$A$5:$A$8,'SSQ Metadata'!$B$5:$B$8)</f>
        <v>0</v>
      </c>
      <c r="AF39" s="45">
        <f>_xlfn.XLOOKUP(SSQ_Raw!AF39,'SSQ Metadata'!$A$5:$A$8,'SSQ Metadata'!$B$5:$B$8)</f>
        <v>0</v>
      </c>
      <c r="AG39" s="51">
        <f>_xlfn.XLOOKUP(SSQ_Raw!AG39,'SSQ Metadata'!$A$5:$A$8,'SSQ Metadata'!$B$5:$B$8)</f>
        <v>0</v>
      </c>
      <c r="AH39" s="3" t="s">
        <v>83</v>
      </c>
    </row>
    <row r="40" spans="1:34" x14ac:dyDescent="0.2">
      <c r="A40" s="65">
        <v>37</v>
      </c>
      <c r="B40" s="50">
        <f>_xlfn.XLOOKUP(SSQ_Raw!B40,'SSQ Metadata'!$A$5:$A$8,'SSQ Metadata'!$B$5:$B$8)</f>
        <v>0</v>
      </c>
      <c r="C40" s="45">
        <f>_xlfn.XLOOKUP(SSQ_Raw!C40,'SSQ Metadata'!$A$5:$A$8,'SSQ Metadata'!$B$5:$B$8)</f>
        <v>1</v>
      </c>
      <c r="D40" s="45">
        <f>_xlfn.XLOOKUP(SSQ_Raw!D40,'SSQ Metadata'!$A$5:$A$8,'SSQ Metadata'!$B$5:$B$8)</f>
        <v>0</v>
      </c>
      <c r="E40" s="45">
        <f>_xlfn.XLOOKUP(SSQ_Raw!E40,'SSQ Metadata'!$A$5:$A$8,'SSQ Metadata'!$B$5:$B$8)</f>
        <v>0</v>
      </c>
      <c r="F40" s="45">
        <f>_xlfn.XLOOKUP(SSQ_Raw!F40,'SSQ Metadata'!$A$5:$A$8,'SSQ Metadata'!$B$5:$B$8)</f>
        <v>0</v>
      </c>
      <c r="G40" s="45">
        <f>_xlfn.XLOOKUP(SSQ_Raw!G40,'SSQ Metadata'!$A$5:$A$8,'SSQ Metadata'!$B$5:$B$8)</f>
        <v>0</v>
      </c>
      <c r="H40" s="45">
        <f>_xlfn.XLOOKUP(SSQ_Raw!H40,'SSQ Metadata'!$A$5:$A$8,'SSQ Metadata'!$B$5:$B$8)</f>
        <v>0</v>
      </c>
      <c r="I40" s="45">
        <f>_xlfn.XLOOKUP(SSQ_Raw!I40,'SSQ Metadata'!$A$5:$A$8,'SSQ Metadata'!$B$5:$B$8)</f>
        <v>0</v>
      </c>
      <c r="J40" s="45">
        <f>_xlfn.XLOOKUP(SSQ_Raw!J40,'SSQ Metadata'!$A$5:$A$8,'SSQ Metadata'!$B$5:$B$8)</f>
        <v>0</v>
      </c>
      <c r="K40" s="45">
        <f>_xlfn.XLOOKUP(SSQ_Raw!K40,'SSQ Metadata'!$A$5:$A$8,'SSQ Metadata'!$B$5:$B$8)</f>
        <v>0</v>
      </c>
      <c r="L40" s="45">
        <f>_xlfn.XLOOKUP(SSQ_Raw!L40,'SSQ Metadata'!$A$5:$A$8,'SSQ Metadata'!$B$5:$B$8)</f>
        <v>0</v>
      </c>
      <c r="M40" s="45">
        <f>_xlfn.XLOOKUP(SSQ_Raw!M40,'SSQ Metadata'!$A$5:$A$8,'SSQ Metadata'!$B$5:$B$8)</f>
        <v>0</v>
      </c>
      <c r="N40" s="45">
        <f>_xlfn.XLOOKUP(SSQ_Raw!N40,'SSQ Metadata'!$A$5:$A$8,'SSQ Metadata'!$B$5:$B$8)</f>
        <v>0</v>
      </c>
      <c r="O40" s="45">
        <f>_xlfn.XLOOKUP(SSQ_Raw!O40,'SSQ Metadata'!$A$5:$A$8,'SSQ Metadata'!$B$5:$B$8)</f>
        <v>0</v>
      </c>
      <c r="P40" s="45">
        <f>_xlfn.XLOOKUP(SSQ_Raw!P40,'SSQ Metadata'!$A$5:$A$8,'SSQ Metadata'!$B$5:$B$8)</f>
        <v>0</v>
      </c>
      <c r="Q40" s="45">
        <f>_xlfn.XLOOKUP(SSQ_Raw!Q40,'SSQ Metadata'!$A$5:$A$8,'SSQ Metadata'!$B$5:$B$8)</f>
        <v>0</v>
      </c>
      <c r="R40" s="45">
        <f>_xlfn.XLOOKUP(SSQ_Raw!R40,'SSQ Metadata'!$A$5:$A$8,'SSQ Metadata'!$B$5:$B$8)</f>
        <v>2</v>
      </c>
      <c r="S40" s="45">
        <f>_xlfn.XLOOKUP(SSQ_Raw!S40,'SSQ Metadata'!$A$5:$A$8,'SSQ Metadata'!$B$5:$B$8)</f>
        <v>1</v>
      </c>
      <c r="T40" s="45">
        <f>_xlfn.XLOOKUP(SSQ_Raw!T40,'SSQ Metadata'!$A$5:$A$8,'SSQ Metadata'!$B$5:$B$8)</f>
        <v>0</v>
      </c>
      <c r="U40" s="45">
        <f>_xlfn.XLOOKUP(SSQ_Raw!U40,'SSQ Metadata'!$A$5:$A$8,'SSQ Metadata'!$B$5:$B$8)</f>
        <v>0</v>
      </c>
      <c r="V40" s="45">
        <f>_xlfn.XLOOKUP(SSQ_Raw!V40,'SSQ Metadata'!$A$5:$A$8,'SSQ Metadata'!$B$5:$B$8)</f>
        <v>0</v>
      </c>
      <c r="W40" s="45">
        <f>_xlfn.XLOOKUP(SSQ_Raw!W40,'SSQ Metadata'!$A$5:$A$8,'SSQ Metadata'!$B$5:$B$8)</f>
        <v>0</v>
      </c>
      <c r="X40" s="45">
        <f>_xlfn.XLOOKUP(SSQ_Raw!X40,'SSQ Metadata'!$A$5:$A$8,'SSQ Metadata'!$B$5:$B$8)</f>
        <v>1</v>
      </c>
      <c r="Y40" s="45">
        <f>_xlfn.XLOOKUP(SSQ_Raw!Y40,'SSQ Metadata'!$A$5:$A$8,'SSQ Metadata'!$B$5:$B$8)</f>
        <v>1</v>
      </c>
      <c r="Z40" s="45">
        <f>_xlfn.XLOOKUP(SSQ_Raw!Z40,'SSQ Metadata'!$A$5:$A$8,'SSQ Metadata'!$B$5:$B$8)</f>
        <v>0</v>
      </c>
      <c r="AA40" s="45">
        <f>_xlfn.XLOOKUP(SSQ_Raw!AA40,'SSQ Metadata'!$A$5:$A$8,'SSQ Metadata'!$B$5:$B$8)</f>
        <v>0</v>
      </c>
      <c r="AB40" s="45">
        <f>_xlfn.XLOOKUP(SSQ_Raw!AB40,'SSQ Metadata'!$A$5:$A$8,'SSQ Metadata'!$B$5:$B$8)</f>
        <v>0</v>
      </c>
      <c r="AC40" s="45">
        <f>_xlfn.XLOOKUP(SSQ_Raw!AC40,'SSQ Metadata'!$A$5:$A$8,'SSQ Metadata'!$B$5:$B$8)</f>
        <v>0</v>
      </c>
      <c r="AD40" s="45">
        <f>_xlfn.XLOOKUP(SSQ_Raw!AD40,'SSQ Metadata'!$A$5:$A$8,'SSQ Metadata'!$B$5:$B$8)</f>
        <v>1</v>
      </c>
      <c r="AE40" s="45">
        <f>_xlfn.XLOOKUP(SSQ_Raw!AE40,'SSQ Metadata'!$A$5:$A$8,'SSQ Metadata'!$B$5:$B$8)</f>
        <v>0</v>
      </c>
      <c r="AF40" s="45">
        <f>_xlfn.XLOOKUP(SSQ_Raw!AF40,'SSQ Metadata'!$A$5:$A$8,'SSQ Metadata'!$B$5:$B$8)</f>
        <v>2</v>
      </c>
      <c r="AG40" s="51">
        <f>_xlfn.XLOOKUP(SSQ_Raw!AG40,'SSQ Metadata'!$A$5:$A$8,'SSQ Metadata'!$B$5:$B$8)</f>
        <v>0</v>
      </c>
      <c r="AH40" s="3" t="s">
        <v>85</v>
      </c>
    </row>
    <row r="41" spans="1:34" x14ac:dyDescent="0.2">
      <c r="A41" s="65">
        <v>38</v>
      </c>
      <c r="B41" s="50">
        <f>_xlfn.XLOOKUP(SSQ_Raw!B41,'SSQ Metadata'!$A$5:$A$8,'SSQ Metadata'!$B$5:$B$8)</f>
        <v>0</v>
      </c>
      <c r="C41" s="45">
        <f>_xlfn.XLOOKUP(SSQ_Raw!C41,'SSQ Metadata'!$A$5:$A$8,'SSQ Metadata'!$B$5:$B$8)</f>
        <v>1</v>
      </c>
      <c r="D41" s="45">
        <f>_xlfn.XLOOKUP(SSQ_Raw!D41,'SSQ Metadata'!$A$5:$A$8,'SSQ Metadata'!$B$5:$B$8)</f>
        <v>0</v>
      </c>
      <c r="E41" s="45">
        <f>_xlfn.XLOOKUP(SSQ_Raw!E41,'SSQ Metadata'!$A$5:$A$8,'SSQ Metadata'!$B$5:$B$8)</f>
        <v>0</v>
      </c>
      <c r="F41" s="45">
        <f>_xlfn.XLOOKUP(SSQ_Raw!F41,'SSQ Metadata'!$A$5:$A$8,'SSQ Metadata'!$B$5:$B$8)</f>
        <v>0</v>
      </c>
      <c r="G41" s="45">
        <f>_xlfn.XLOOKUP(SSQ_Raw!G41,'SSQ Metadata'!$A$5:$A$8,'SSQ Metadata'!$B$5:$B$8)</f>
        <v>0</v>
      </c>
      <c r="H41" s="45">
        <f>_xlfn.XLOOKUP(SSQ_Raw!H41,'SSQ Metadata'!$A$5:$A$8,'SSQ Metadata'!$B$5:$B$8)</f>
        <v>0</v>
      </c>
      <c r="I41" s="45">
        <f>_xlfn.XLOOKUP(SSQ_Raw!I41,'SSQ Metadata'!$A$5:$A$8,'SSQ Metadata'!$B$5:$B$8)</f>
        <v>0</v>
      </c>
      <c r="J41" s="45">
        <f>_xlfn.XLOOKUP(SSQ_Raw!J41,'SSQ Metadata'!$A$5:$A$8,'SSQ Metadata'!$B$5:$B$8)</f>
        <v>0</v>
      </c>
      <c r="K41" s="45">
        <f>_xlfn.XLOOKUP(SSQ_Raw!K41,'SSQ Metadata'!$A$5:$A$8,'SSQ Metadata'!$B$5:$B$8)</f>
        <v>0</v>
      </c>
      <c r="L41" s="45">
        <f>_xlfn.XLOOKUP(SSQ_Raw!L41,'SSQ Metadata'!$A$5:$A$8,'SSQ Metadata'!$B$5:$B$8)</f>
        <v>0</v>
      </c>
      <c r="M41" s="45">
        <f>_xlfn.XLOOKUP(SSQ_Raw!M41,'SSQ Metadata'!$A$5:$A$8,'SSQ Metadata'!$B$5:$B$8)</f>
        <v>0</v>
      </c>
      <c r="N41" s="45">
        <f>_xlfn.XLOOKUP(SSQ_Raw!N41,'SSQ Metadata'!$A$5:$A$8,'SSQ Metadata'!$B$5:$B$8)</f>
        <v>0</v>
      </c>
      <c r="O41" s="45">
        <f>_xlfn.XLOOKUP(SSQ_Raw!O41,'SSQ Metadata'!$A$5:$A$8,'SSQ Metadata'!$B$5:$B$8)</f>
        <v>0</v>
      </c>
      <c r="P41" s="45">
        <f>_xlfn.XLOOKUP(SSQ_Raw!P41,'SSQ Metadata'!$A$5:$A$8,'SSQ Metadata'!$B$5:$B$8)</f>
        <v>0</v>
      </c>
      <c r="Q41" s="45">
        <f>_xlfn.XLOOKUP(SSQ_Raw!Q41,'SSQ Metadata'!$A$5:$A$8,'SSQ Metadata'!$B$5:$B$8)</f>
        <v>0</v>
      </c>
      <c r="R41" s="45">
        <f>_xlfn.XLOOKUP(SSQ_Raw!R41,'SSQ Metadata'!$A$5:$A$8,'SSQ Metadata'!$B$5:$B$8)</f>
        <v>0</v>
      </c>
      <c r="S41" s="45">
        <f>_xlfn.XLOOKUP(SSQ_Raw!S41,'SSQ Metadata'!$A$5:$A$8,'SSQ Metadata'!$B$5:$B$8)</f>
        <v>1</v>
      </c>
      <c r="T41" s="45">
        <f>_xlfn.XLOOKUP(SSQ_Raw!T41,'SSQ Metadata'!$A$5:$A$8,'SSQ Metadata'!$B$5:$B$8)</f>
        <v>0</v>
      </c>
      <c r="U41" s="45">
        <f>_xlfn.XLOOKUP(SSQ_Raw!U41,'SSQ Metadata'!$A$5:$A$8,'SSQ Metadata'!$B$5:$B$8)</f>
        <v>1</v>
      </c>
      <c r="V41" s="45">
        <f>_xlfn.XLOOKUP(SSQ_Raw!V41,'SSQ Metadata'!$A$5:$A$8,'SSQ Metadata'!$B$5:$B$8)</f>
        <v>0</v>
      </c>
      <c r="W41" s="45">
        <f>_xlfn.XLOOKUP(SSQ_Raw!W41,'SSQ Metadata'!$A$5:$A$8,'SSQ Metadata'!$B$5:$B$8)</f>
        <v>0</v>
      </c>
      <c r="X41" s="45">
        <f>_xlfn.XLOOKUP(SSQ_Raw!X41,'SSQ Metadata'!$A$5:$A$8,'SSQ Metadata'!$B$5:$B$8)</f>
        <v>0</v>
      </c>
      <c r="Y41" s="45">
        <f>_xlfn.XLOOKUP(SSQ_Raw!Y41,'SSQ Metadata'!$A$5:$A$8,'SSQ Metadata'!$B$5:$B$8)</f>
        <v>0</v>
      </c>
      <c r="Z41" s="45">
        <f>_xlfn.XLOOKUP(SSQ_Raw!Z41,'SSQ Metadata'!$A$5:$A$8,'SSQ Metadata'!$B$5:$B$8)</f>
        <v>0</v>
      </c>
      <c r="AA41" s="45">
        <f>_xlfn.XLOOKUP(SSQ_Raw!AA41,'SSQ Metadata'!$A$5:$A$8,'SSQ Metadata'!$B$5:$B$8)</f>
        <v>0</v>
      </c>
      <c r="AB41" s="45">
        <f>_xlfn.XLOOKUP(SSQ_Raw!AB41,'SSQ Metadata'!$A$5:$A$8,'SSQ Metadata'!$B$5:$B$8)</f>
        <v>0</v>
      </c>
      <c r="AC41" s="45">
        <f>_xlfn.XLOOKUP(SSQ_Raw!AC41,'SSQ Metadata'!$A$5:$A$8,'SSQ Metadata'!$B$5:$B$8)</f>
        <v>0</v>
      </c>
      <c r="AD41" s="45">
        <f>_xlfn.XLOOKUP(SSQ_Raw!AD41,'SSQ Metadata'!$A$5:$A$8,'SSQ Metadata'!$B$5:$B$8)</f>
        <v>0</v>
      </c>
      <c r="AE41" s="45">
        <f>_xlfn.XLOOKUP(SSQ_Raw!AE41,'SSQ Metadata'!$A$5:$A$8,'SSQ Metadata'!$B$5:$B$8)</f>
        <v>0</v>
      </c>
      <c r="AF41" s="45">
        <f>_xlfn.XLOOKUP(SSQ_Raw!AF41,'SSQ Metadata'!$A$5:$A$8,'SSQ Metadata'!$B$5:$B$8)</f>
        <v>0</v>
      </c>
      <c r="AG41" s="51">
        <f>_xlfn.XLOOKUP(SSQ_Raw!AG41,'SSQ Metadata'!$A$5:$A$8,'SSQ Metadata'!$B$5:$B$8)</f>
        <v>0</v>
      </c>
      <c r="AH41" s="3" t="s">
        <v>86</v>
      </c>
    </row>
    <row r="42" spans="1:34" x14ac:dyDescent="0.2">
      <c r="A42" s="65">
        <v>39</v>
      </c>
      <c r="B42" s="50">
        <f>_xlfn.XLOOKUP(SSQ_Raw!B42,'SSQ Metadata'!$A$5:$A$8,'SSQ Metadata'!$B$5:$B$8)</f>
        <v>0</v>
      </c>
      <c r="C42" s="45">
        <f>_xlfn.XLOOKUP(SSQ_Raw!C42,'SSQ Metadata'!$A$5:$A$8,'SSQ Metadata'!$B$5:$B$8)</f>
        <v>0</v>
      </c>
      <c r="D42" s="45">
        <f>_xlfn.XLOOKUP(SSQ_Raw!D42,'SSQ Metadata'!$A$5:$A$8,'SSQ Metadata'!$B$5:$B$8)</f>
        <v>0</v>
      </c>
      <c r="E42" s="45">
        <f>_xlfn.XLOOKUP(SSQ_Raw!E42,'SSQ Metadata'!$A$5:$A$8,'SSQ Metadata'!$B$5:$B$8)</f>
        <v>0</v>
      </c>
      <c r="F42" s="45">
        <f>_xlfn.XLOOKUP(SSQ_Raw!F42,'SSQ Metadata'!$A$5:$A$8,'SSQ Metadata'!$B$5:$B$8)</f>
        <v>0</v>
      </c>
      <c r="G42" s="45">
        <f>_xlfn.XLOOKUP(SSQ_Raw!G42,'SSQ Metadata'!$A$5:$A$8,'SSQ Metadata'!$B$5:$B$8)</f>
        <v>0</v>
      </c>
      <c r="H42" s="45">
        <f>_xlfn.XLOOKUP(SSQ_Raw!H42,'SSQ Metadata'!$A$5:$A$8,'SSQ Metadata'!$B$5:$B$8)</f>
        <v>0</v>
      </c>
      <c r="I42" s="45">
        <f>_xlfn.XLOOKUP(SSQ_Raw!I42,'SSQ Metadata'!$A$5:$A$8,'SSQ Metadata'!$B$5:$B$8)</f>
        <v>0</v>
      </c>
      <c r="J42" s="45">
        <f>_xlfn.XLOOKUP(SSQ_Raw!J42,'SSQ Metadata'!$A$5:$A$8,'SSQ Metadata'!$B$5:$B$8)</f>
        <v>0</v>
      </c>
      <c r="K42" s="45">
        <f>_xlfn.XLOOKUP(SSQ_Raw!K42,'SSQ Metadata'!$A$5:$A$8,'SSQ Metadata'!$B$5:$B$8)</f>
        <v>0</v>
      </c>
      <c r="L42" s="45">
        <f>_xlfn.XLOOKUP(SSQ_Raw!L42,'SSQ Metadata'!$A$5:$A$8,'SSQ Metadata'!$B$5:$B$8)</f>
        <v>0</v>
      </c>
      <c r="M42" s="45">
        <f>_xlfn.XLOOKUP(SSQ_Raw!M42,'SSQ Metadata'!$A$5:$A$8,'SSQ Metadata'!$B$5:$B$8)</f>
        <v>0</v>
      </c>
      <c r="N42" s="45">
        <f>_xlfn.XLOOKUP(SSQ_Raw!N42,'SSQ Metadata'!$A$5:$A$8,'SSQ Metadata'!$B$5:$B$8)</f>
        <v>0</v>
      </c>
      <c r="O42" s="45">
        <f>_xlfn.XLOOKUP(SSQ_Raw!O42,'SSQ Metadata'!$A$5:$A$8,'SSQ Metadata'!$B$5:$B$8)</f>
        <v>0</v>
      </c>
      <c r="P42" s="45">
        <f>_xlfn.XLOOKUP(SSQ_Raw!P42,'SSQ Metadata'!$A$5:$A$8,'SSQ Metadata'!$B$5:$B$8)</f>
        <v>0</v>
      </c>
      <c r="Q42" s="45">
        <f>_xlfn.XLOOKUP(SSQ_Raw!Q42,'SSQ Metadata'!$A$5:$A$8,'SSQ Metadata'!$B$5:$B$8)</f>
        <v>0</v>
      </c>
      <c r="R42" s="45">
        <f>_xlfn.XLOOKUP(SSQ_Raw!R42,'SSQ Metadata'!$A$5:$A$8,'SSQ Metadata'!$B$5:$B$8)</f>
        <v>2</v>
      </c>
      <c r="S42" s="45">
        <f>_xlfn.XLOOKUP(SSQ_Raw!S42,'SSQ Metadata'!$A$5:$A$8,'SSQ Metadata'!$B$5:$B$8)</f>
        <v>1</v>
      </c>
      <c r="T42" s="45">
        <f>_xlfn.XLOOKUP(SSQ_Raw!T42,'SSQ Metadata'!$A$5:$A$8,'SSQ Metadata'!$B$5:$B$8)</f>
        <v>0</v>
      </c>
      <c r="U42" s="45">
        <f>_xlfn.XLOOKUP(SSQ_Raw!U42,'SSQ Metadata'!$A$5:$A$8,'SSQ Metadata'!$B$5:$B$8)</f>
        <v>0</v>
      </c>
      <c r="V42" s="45">
        <f>_xlfn.XLOOKUP(SSQ_Raw!V42,'SSQ Metadata'!$A$5:$A$8,'SSQ Metadata'!$B$5:$B$8)</f>
        <v>1</v>
      </c>
      <c r="W42" s="45">
        <f>_xlfn.XLOOKUP(SSQ_Raw!W42,'SSQ Metadata'!$A$5:$A$8,'SSQ Metadata'!$B$5:$B$8)</f>
        <v>0</v>
      </c>
      <c r="X42" s="45">
        <f>_xlfn.XLOOKUP(SSQ_Raw!X42,'SSQ Metadata'!$A$5:$A$8,'SSQ Metadata'!$B$5:$B$8)</f>
        <v>0</v>
      </c>
      <c r="Y42" s="45">
        <f>_xlfn.XLOOKUP(SSQ_Raw!Y42,'SSQ Metadata'!$A$5:$A$8,'SSQ Metadata'!$B$5:$B$8)</f>
        <v>2</v>
      </c>
      <c r="Z42" s="45">
        <f>_xlfn.XLOOKUP(SSQ_Raw!Z42,'SSQ Metadata'!$A$5:$A$8,'SSQ Metadata'!$B$5:$B$8)</f>
        <v>1</v>
      </c>
      <c r="AA42" s="45">
        <f>_xlfn.XLOOKUP(SSQ_Raw!AA42,'SSQ Metadata'!$A$5:$A$8,'SSQ Metadata'!$B$5:$B$8)</f>
        <v>0</v>
      </c>
      <c r="AB42" s="45">
        <f>_xlfn.XLOOKUP(SSQ_Raw!AB42,'SSQ Metadata'!$A$5:$A$8,'SSQ Metadata'!$B$5:$B$8)</f>
        <v>0</v>
      </c>
      <c r="AC42" s="45">
        <f>_xlfn.XLOOKUP(SSQ_Raw!AC42,'SSQ Metadata'!$A$5:$A$8,'SSQ Metadata'!$B$5:$B$8)</f>
        <v>2</v>
      </c>
      <c r="AD42" s="45">
        <f>_xlfn.XLOOKUP(SSQ_Raw!AD42,'SSQ Metadata'!$A$5:$A$8,'SSQ Metadata'!$B$5:$B$8)</f>
        <v>2</v>
      </c>
      <c r="AE42" s="45">
        <f>_xlfn.XLOOKUP(SSQ_Raw!AE42,'SSQ Metadata'!$A$5:$A$8,'SSQ Metadata'!$B$5:$B$8)</f>
        <v>0</v>
      </c>
      <c r="AF42" s="45">
        <f>_xlfn.XLOOKUP(SSQ_Raw!AF42,'SSQ Metadata'!$A$5:$A$8,'SSQ Metadata'!$B$5:$B$8)</f>
        <v>2</v>
      </c>
      <c r="AG42" s="51">
        <f>_xlfn.XLOOKUP(SSQ_Raw!AG42,'SSQ Metadata'!$A$5:$A$8,'SSQ Metadata'!$B$5:$B$8)</f>
        <v>0</v>
      </c>
      <c r="AH42" s="3" t="s">
        <v>87</v>
      </c>
    </row>
    <row r="43" spans="1:34" x14ac:dyDescent="0.2">
      <c r="A43" s="65">
        <v>40</v>
      </c>
      <c r="B43" s="50">
        <f>_xlfn.XLOOKUP(SSQ_Raw!B43,'SSQ Metadata'!$A$5:$A$8,'SSQ Metadata'!$B$5:$B$8)</f>
        <v>0</v>
      </c>
      <c r="C43" s="45">
        <f>_xlfn.XLOOKUP(SSQ_Raw!C43,'SSQ Metadata'!$A$5:$A$8,'SSQ Metadata'!$B$5:$B$8)</f>
        <v>0</v>
      </c>
      <c r="D43" s="45">
        <f>_xlfn.XLOOKUP(SSQ_Raw!D43,'SSQ Metadata'!$A$5:$A$8,'SSQ Metadata'!$B$5:$B$8)</f>
        <v>0</v>
      </c>
      <c r="E43" s="45">
        <f>_xlfn.XLOOKUP(SSQ_Raw!E43,'SSQ Metadata'!$A$5:$A$8,'SSQ Metadata'!$B$5:$B$8)</f>
        <v>1</v>
      </c>
      <c r="F43" s="45">
        <f>_xlfn.XLOOKUP(SSQ_Raw!F43,'SSQ Metadata'!$A$5:$A$8,'SSQ Metadata'!$B$5:$B$8)</f>
        <v>0</v>
      </c>
      <c r="G43" s="45">
        <f>_xlfn.XLOOKUP(SSQ_Raw!G43,'SSQ Metadata'!$A$5:$A$8,'SSQ Metadata'!$B$5:$B$8)</f>
        <v>0</v>
      </c>
      <c r="H43" s="45">
        <f>_xlfn.XLOOKUP(SSQ_Raw!H43,'SSQ Metadata'!$A$5:$A$8,'SSQ Metadata'!$B$5:$B$8)</f>
        <v>1</v>
      </c>
      <c r="I43" s="45">
        <f>_xlfn.XLOOKUP(SSQ_Raw!I43,'SSQ Metadata'!$A$5:$A$8,'SSQ Metadata'!$B$5:$B$8)</f>
        <v>0</v>
      </c>
      <c r="J43" s="45">
        <f>_xlfn.XLOOKUP(SSQ_Raw!J43,'SSQ Metadata'!$A$5:$A$8,'SSQ Metadata'!$B$5:$B$8)</f>
        <v>0</v>
      </c>
      <c r="K43" s="45">
        <f>_xlfn.XLOOKUP(SSQ_Raw!K43,'SSQ Metadata'!$A$5:$A$8,'SSQ Metadata'!$B$5:$B$8)</f>
        <v>0</v>
      </c>
      <c r="L43" s="45">
        <f>_xlfn.XLOOKUP(SSQ_Raw!L43,'SSQ Metadata'!$A$5:$A$8,'SSQ Metadata'!$B$5:$B$8)</f>
        <v>0</v>
      </c>
      <c r="M43" s="45">
        <f>_xlfn.XLOOKUP(SSQ_Raw!M43,'SSQ Metadata'!$A$5:$A$8,'SSQ Metadata'!$B$5:$B$8)</f>
        <v>0</v>
      </c>
      <c r="N43" s="45">
        <f>_xlfn.XLOOKUP(SSQ_Raw!N43,'SSQ Metadata'!$A$5:$A$8,'SSQ Metadata'!$B$5:$B$8)</f>
        <v>0</v>
      </c>
      <c r="O43" s="45">
        <f>_xlfn.XLOOKUP(SSQ_Raw!O43,'SSQ Metadata'!$A$5:$A$8,'SSQ Metadata'!$B$5:$B$8)</f>
        <v>0</v>
      </c>
      <c r="P43" s="45">
        <f>_xlfn.XLOOKUP(SSQ_Raw!P43,'SSQ Metadata'!$A$5:$A$8,'SSQ Metadata'!$B$5:$B$8)</f>
        <v>0</v>
      </c>
      <c r="Q43" s="45">
        <f>_xlfn.XLOOKUP(SSQ_Raw!Q43,'SSQ Metadata'!$A$5:$A$8,'SSQ Metadata'!$B$5:$B$8)</f>
        <v>0</v>
      </c>
      <c r="R43" s="45">
        <f>_xlfn.XLOOKUP(SSQ_Raw!R43,'SSQ Metadata'!$A$5:$A$8,'SSQ Metadata'!$B$5:$B$8)</f>
        <v>2</v>
      </c>
      <c r="S43" s="45">
        <f>_xlfn.XLOOKUP(SSQ_Raw!S43,'SSQ Metadata'!$A$5:$A$8,'SSQ Metadata'!$B$5:$B$8)</f>
        <v>0</v>
      </c>
      <c r="T43" s="45">
        <f>_xlfn.XLOOKUP(SSQ_Raw!T43,'SSQ Metadata'!$A$5:$A$8,'SSQ Metadata'!$B$5:$B$8)</f>
        <v>0</v>
      </c>
      <c r="U43" s="45">
        <f>_xlfn.XLOOKUP(SSQ_Raw!U43,'SSQ Metadata'!$A$5:$A$8,'SSQ Metadata'!$B$5:$B$8)</f>
        <v>1</v>
      </c>
      <c r="V43" s="45">
        <f>_xlfn.XLOOKUP(SSQ_Raw!V43,'SSQ Metadata'!$A$5:$A$8,'SSQ Metadata'!$B$5:$B$8)</f>
        <v>0</v>
      </c>
      <c r="W43" s="45">
        <f>_xlfn.XLOOKUP(SSQ_Raw!W43,'SSQ Metadata'!$A$5:$A$8,'SSQ Metadata'!$B$5:$B$8)</f>
        <v>0</v>
      </c>
      <c r="X43" s="45">
        <f>_xlfn.XLOOKUP(SSQ_Raw!X43,'SSQ Metadata'!$A$5:$A$8,'SSQ Metadata'!$B$5:$B$8)</f>
        <v>2</v>
      </c>
      <c r="Y43" s="45">
        <f>_xlfn.XLOOKUP(SSQ_Raw!Y43,'SSQ Metadata'!$A$5:$A$8,'SSQ Metadata'!$B$5:$B$8)</f>
        <v>2</v>
      </c>
      <c r="Z43" s="45">
        <f>_xlfn.XLOOKUP(SSQ_Raw!Z43,'SSQ Metadata'!$A$5:$A$8,'SSQ Metadata'!$B$5:$B$8)</f>
        <v>0</v>
      </c>
      <c r="AA43" s="45">
        <f>_xlfn.XLOOKUP(SSQ_Raw!AA43,'SSQ Metadata'!$A$5:$A$8,'SSQ Metadata'!$B$5:$B$8)</f>
        <v>0</v>
      </c>
      <c r="AB43" s="45">
        <f>_xlfn.XLOOKUP(SSQ_Raw!AB43,'SSQ Metadata'!$A$5:$A$8,'SSQ Metadata'!$B$5:$B$8)</f>
        <v>0</v>
      </c>
      <c r="AC43" s="45">
        <f>_xlfn.XLOOKUP(SSQ_Raw!AC43,'SSQ Metadata'!$A$5:$A$8,'SSQ Metadata'!$B$5:$B$8)</f>
        <v>0</v>
      </c>
      <c r="AD43" s="45">
        <f>_xlfn.XLOOKUP(SSQ_Raw!AD43,'SSQ Metadata'!$A$5:$A$8,'SSQ Metadata'!$B$5:$B$8)</f>
        <v>0</v>
      </c>
      <c r="AE43" s="45">
        <f>_xlfn.XLOOKUP(SSQ_Raw!AE43,'SSQ Metadata'!$A$5:$A$8,'SSQ Metadata'!$B$5:$B$8)</f>
        <v>0</v>
      </c>
      <c r="AF43" s="45">
        <f>_xlfn.XLOOKUP(SSQ_Raw!AF43,'SSQ Metadata'!$A$5:$A$8,'SSQ Metadata'!$B$5:$B$8)</f>
        <v>1</v>
      </c>
      <c r="AG43" s="51">
        <f>_xlfn.XLOOKUP(SSQ_Raw!AG43,'SSQ Metadata'!$A$5:$A$8,'SSQ Metadata'!$B$5:$B$8)</f>
        <v>0</v>
      </c>
      <c r="AH43" s="3" t="s">
        <v>88</v>
      </c>
    </row>
    <row r="44" spans="1:34" x14ac:dyDescent="0.2">
      <c r="A44" s="65">
        <v>41</v>
      </c>
      <c r="B44" s="50">
        <f>_xlfn.XLOOKUP(SSQ_Raw!B44,'SSQ Metadata'!$A$5:$A$8,'SSQ Metadata'!$B$5:$B$8)</f>
        <v>1</v>
      </c>
      <c r="C44" s="45">
        <f>_xlfn.XLOOKUP(SSQ_Raw!C44,'SSQ Metadata'!$A$5:$A$8,'SSQ Metadata'!$B$5:$B$8)</f>
        <v>2</v>
      </c>
      <c r="D44" s="45">
        <f>_xlfn.XLOOKUP(SSQ_Raw!D44,'SSQ Metadata'!$A$5:$A$8,'SSQ Metadata'!$B$5:$B$8)</f>
        <v>0</v>
      </c>
      <c r="E44" s="45">
        <f>_xlfn.XLOOKUP(SSQ_Raw!E44,'SSQ Metadata'!$A$5:$A$8,'SSQ Metadata'!$B$5:$B$8)</f>
        <v>0</v>
      </c>
      <c r="F44" s="45">
        <f>_xlfn.XLOOKUP(SSQ_Raw!F44,'SSQ Metadata'!$A$5:$A$8,'SSQ Metadata'!$B$5:$B$8)</f>
        <v>0</v>
      </c>
      <c r="G44" s="45">
        <f>_xlfn.XLOOKUP(SSQ_Raw!G44,'SSQ Metadata'!$A$5:$A$8,'SSQ Metadata'!$B$5:$B$8)</f>
        <v>0</v>
      </c>
      <c r="H44" s="45">
        <f>_xlfn.XLOOKUP(SSQ_Raw!H44,'SSQ Metadata'!$A$5:$A$8,'SSQ Metadata'!$B$5:$B$8)</f>
        <v>0</v>
      </c>
      <c r="I44" s="45">
        <f>_xlfn.XLOOKUP(SSQ_Raw!I44,'SSQ Metadata'!$A$5:$A$8,'SSQ Metadata'!$B$5:$B$8)</f>
        <v>0</v>
      </c>
      <c r="J44" s="45">
        <f>_xlfn.XLOOKUP(SSQ_Raw!J44,'SSQ Metadata'!$A$5:$A$8,'SSQ Metadata'!$B$5:$B$8)</f>
        <v>1</v>
      </c>
      <c r="K44" s="45">
        <f>_xlfn.XLOOKUP(SSQ_Raw!K44,'SSQ Metadata'!$A$5:$A$8,'SSQ Metadata'!$B$5:$B$8)</f>
        <v>0</v>
      </c>
      <c r="L44" s="45">
        <f>_xlfn.XLOOKUP(SSQ_Raw!L44,'SSQ Metadata'!$A$5:$A$8,'SSQ Metadata'!$B$5:$B$8)</f>
        <v>0</v>
      </c>
      <c r="M44" s="45">
        <f>_xlfn.XLOOKUP(SSQ_Raw!M44,'SSQ Metadata'!$A$5:$A$8,'SSQ Metadata'!$B$5:$B$8)</f>
        <v>0</v>
      </c>
      <c r="N44" s="45">
        <f>_xlfn.XLOOKUP(SSQ_Raw!N44,'SSQ Metadata'!$A$5:$A$8,'SSQ Metadata'!$B$5:$B$8)</f>
        <v>0</v>
      </c>
      <c r="O44" s="45">
        <f>_xlfn.XLOOKUP(SSQ_Raw!O44,'SSQ Metadata'!$A$5:$A$8,'SSQ Metadata'!$B$5:$B$8)</f>
        <v>0</v>
      </c>
      <c r="P44" s="45">
        <f>_xlfn.XLOOKUP(SSQ_Raw!P44,'SSQ Metadata'!$A$5:$A$8,'SSQ Metadata'!$B$5:$B$8)</f>
        <v>0</v>
      </c>
      <c r="Q44" s="45">
        <f>_xlfn.XLOOKUP(SSQ_Raw!Q44,'SSQ Metadata'!$A$5:$A$8,'SSQ Metadata'!$B$5:$B$8)</f>
        <v>0</v>
      </c>
      <c r="R44" s="45">
        <f>_xlfn.XLOOKUP(SSQ_Raw!R44,'SSQ Metadata'!$A$5:$A$8,'SSQ Metadata'!$B$5:$B$8)</f>
        <v>1</v>
      </c>
      <c r="S44" s="45">
        <f>_xlfn.XLOOKUP(SSQ_Raw!S44,'SSQ Metadata'!$A$5:$A$8,'SSQ Metadata'!$B$5:$B$8)</f>
        <v>2</v>
      </c>
      <c r="T44" s="45">
        <f>_xlfn.XLOOKUP(SSQ_Raw!T44,'SSQ Metadata'!$A$5:$A$8,'SSQ Metadata'!$B$5:$B$8)</f>
        <v>0</v>
      </c>
      <c r="U44" s="45">
        <f>_xlfn.XLOOKUP(SSQ_Raw!U44,'SSQ Metadata'!$A$5:$A$8,'SSQ Metadata'!$B$5:$B$8)</f>
        <v>2</v>
      </c>
      <c r="V44" s="45">
        <f>_xlfn.XLOOKUP(SSQ_Raw!V44,'SSQ Metadata'!$A$5:$A$8,'SSQ Metadata'!$B$5:$B$8)</f>
        <v>0</v>
      </c>
      <c r="W44" s="45">
        <f>_xlfn.XLOOKUP(SSQ_Raw!W44,'SSQ Metadata'!$A$5:$A$8,'SSQ Metadata'!$B$5:$B$8)</f>
        <v>0</v>
      </c>
      <c r="X44" s="45">
        <f>_xlfn.XLOOKUP(SSQ_Raw!X44,'SSQ Metadata'!$A$5:$A$8,'SSQ Metadata'!$B$5:$B$8)</f>
        <v>1</v>
      </c>
      <c r="Y44" s="45">
        <f>_xlfn.XLOOKUP(SSQ_Raw!Y44,'SSQ Metadata'!$A$5:$A$8,'SSQ Metadata'!$B$5:$B$8)</f>
        <v>0</v>
      </c>
      <c r="Z44" s="45">
        <f>_xlfn.XLOOKUP(SSQ_Raw!Z44,'SSQ Metadata'!$A$5:$A$8,'SSQ Metadata'!$B$5:$B$8)</f>
        <v>3</v>
      </c>
      <c r="AA44" s="45">
        <f>_xlfn.XLOOKUP(SSQ_Raw!AA44,'SSQ Metadata'!$A$5:$A$8,'SSQ Metadata'!$B$5:$B$8)</f>
        <v>0</v>
      </c>
      <c r="AB44" s="45">
        <f>_xlfn.XLOOKUP(SSQ_Raw!AB44,'SSQ Metadata'!$A$5:$A$8,'SSQ Metadata'!$B$5:$B$8)</f>
        <v>0</v>
      </c>
      <c r="AC44" s="45">
        <f>_xlfn.XLOOKUP(SSQ_Raw!AC44,'SSQ Metadata'!$A$5:$A$8,'SSQ Metadata'!$B$5:$B$8)</f>
        <v>0</v>
      </c>
      <c r="AD44" s="45">
        <f>_xlfn.XLOOKUP(SSQ_Raw!AD44,'SSQ Metadata'!$A$5:$A$8,'SSQ Metadata'!$B$5:$B$8)</f>
        <v>0</v>
      </c>
      <c r="AE44" s="45">
        <f>_xlfn.XLOOKUP(SSQ_Raw!AE44,'SSQ Metadata'!$A$5:$A$8,'SSQ Metadata'!$B$5:$B$8)</f>
        <v>0</v>
      </c>
      <c r="AF44" s="45">
        <f>_xlfn.XLOOKUP(SSQ_Raw!AF44,'SSQ Metadata'!$A$5:$A$8,'SSQ Metadata'!$B$5:$B$8)</f>
        <v>1</v>
      </c>
      <c r="AG44" s="51">
        <f>_xlfn.XLOOKUP(SSQ_Raw!AG44,'SSQ Metadata'!$A$5:$A$8,'SSQ Metadata'!$B$5:$B$8)</f>
        <v>0</v>
      </c>
      <c r="AH44" s="3" t="s">
        <v>89</v>
      </c>
    </row>
    <row r="45" spans="1:34" x14ac:dyDescent="0.2">
      <c r="A45" s="65">
        <v>42</v>
      </c>
      <c r="B45" s="50">
        <f>_xlfn.XLOOKUP(SSQ_Raw!B45,'SSQ Metadata'!$A$5:$A$8,'SSQ Metadata'!$B$5:$B$8)</f>
        <v>1</v>
      </c>
      <c r="C45" s="45">
        <f>_xlfn.XLOOKUP(SSQ_Raw!C45,'SSQ Metadata'!$A$5:$A$8,'SSQ Metadata'!$B$5:$B$8)</f>
        <v>1</v>
      </c>
      <c r="D45" s="45">
        <f>_xlfn.XLOOKUP(SSQ_Raw!D45,'SSQ Metadata'!$A$5:$A$8,'SSQ Metadata'!$B$5:$B$8)</f>
        <v>0</v>
      </c>
      <c r="E45" s="45">
        <f>_xlfn.XLOOKUP(SSQ_Raw!E45,'SSQ Metadata'!$A$5:$A$8,'SSQ Metadata'!$B$5:$B$8)</f>
        <v>0</v>
      </c>
      <c r="F45" s="45">
        <f>_xlfn.XLOOKUP(SSQ_Raw!F45,'SSQ Metadata'!$A$5:$A$8,'SSQ Metadata'!$B$5:$B$8)</f>
        <v>0</v>
      </c>
      <c r="G45" s="45">
        <f>_xlfn.XLOOKUP(SSQ_Raw!G45,'SSQ Metadata'!$A$5:$A$8,'SSQ Metadata'!$B$5:$B$8)</f>
        <v>0</v>
      </c>
      <c r="H45" s="45">
        <f>_xlfn.XLOOKUP(SSQ_Raw!H45,'SSQ Metadata'!$A$5:$A$8,'SSQ Metadata'!$B$5:$B$8)</f>
        <v>1</v>
      </c>
      <c r="I45" s="45">
        <f>_xlfn.XLOOKUP(SSQ_Raw!I45,'SSQ Metadata'!$A$5:$A$8,'SSQ Metadata'!$B$5:$B$8)</f>
        <v>1</v>
      </c>
      <c r="J45" s="45">
        <f>_xlfn.XLOOKUP(SSQ_Raw!J45,'SSQ Metadata'!$A$5:$A$8,'SSQ Metadata'!$B$5:$B$8)</f>
        <v>0</v>
      </c>
      <c r="K45" s="45">
        <f>_xlfn.XLOOKUP(SSQ_Raw!K45,'SSQ Metadata'!$A$5:$A$8,'SSQ Metadata'!$B$5:$B$8)</f>
        <v>0</v>
      </c>
      <c r="L45" s="45">
        <f>_xlfn.XLOOKUP(SSQ_Raw!L45,'SSQ Metadata'!$A$5:$A$8,'SSQ Metadata'!$B$5:$B$8)</f>
        <v>0</v>
      </c>
      <c r="M45" s="45">
        <f>_xlfn.XLOOKUP(SSQ_Raw!M45,'SSQ Metadata'!$A$5:$A$8,'SSQ Metadata'!$B$5:$B$8)</f>
        <v>0</v>
      </c>
      <c r="N45" s="45">
        <f>_xlfn.XLOOKUP(SSQ_Raw!N45,'SSQ Metadata'!$A$5:$A$8,'SSQ Metadata'!$B$5:$B$8)</f>
        <v>0</v>
      </c>
      <c r="O45" s="45">
        <f>_xlfn.XLOOKUP(SSQ_Raw!O45,'SSQ Metadata'!$A$5:$A$8,'SSQ Metadata'!$B$5:$B$8)</f>
        <v>0</v>
      </c>
      <c r="P45" s="45">
        <f>_xlfn.XLOOKUP(SSQ_Raw!P45,'SSQ Metadata'!$A$5:$A$8,'SSQ Metadata'!$B$5:$B$8)</f>
        <v>0</v>
      </c>
      <c r="Q45" s="45">
        <f>_xlfn.XLOOKUP(SSQ_Raw!Q45,'SSQ Metadata'!$A$5:$A$8,'SSQ Metadata'!$B$5:$B$8)</f>
        <v>0</v>
      </c>
      <c r="R45" s="45">
        <f>_xlfn.XLOOKUP(SSQ_Raw!R45,'SSQ Metadata'!$A$5:$A$8,'SSQ Metadata'!$B$5:$B$8)</f>
        <v>0</v>
      </c>
      <c r="S45" s="45">
        <f>_xlfn.XLOOKUP(SSQ_Raw!S45,'SSQ Metadata'!$A$5:$A$8,'SSQ Metadata'!$B$5:$B$8)</f>
        <v>1</v>
      </c>
      <c r="T45" s="45">
        <f>_xlfn.XLOOKUP(SSQ_Raw!T45,'SSQ Metadata'!$A$5:$A$8,'SSQ Metadata'!$B$5:$B$8)</f>
        <v>0</v>
      </c>
      <c r="U45" s="45">
        <f>_xlfn.XLOOKUP(SSQ_Raw!U45,'SSQ Metadata'!$A$5:$A$8,'SSQ Metadata'!$B$5:$B$8)</f>
        <v>0</v>
      </c>
      <c r="V45" s="45">
        <f>_xlfn.XLOOKUP(SSQ_Raw!V45,'SSQ Metadata'!$A$5:$A$8,'SSQ Metadata'!$B$5:$B$8)</f>
        <v>0</v>
      </c>
      <c r="W45" s="45">
        <f>_xlfn.XLOOKUP(SSQ_Raw!W45,'SSQ Metadata'!$A$5:$A$8,'SSQ Metadata'!$B$5:$B$8)</f>
        <v>0</v>
      </c>
      <c r="X45" s="45">
        <f>_xlfn.XLOOKUP(SSQ_Raw!X45,'SSQ Metadata'!$A$5:$A$8,'SSQ Metadata'!$B$5:$B$8)</f>
        <v>0</v>
      </c>
      <c r="Y45" s="45">
        <f>_xlfn.XLOOKUP(SSQ_Raw!Y45,'SSQ Metadata'!$A$5:$A$8,'SSQ Metadata'!$B$5:$B$8)</f>
        <v>0</v>
      </c>
      <c r="Z45" s="45">
        <f>_xlfn.XLOOKUP(SSQ_Raw!Z45,'SSQ Metadata'!$A$5:$A$8,'SSQ Metadata'!$B$5:$B$8)</f>
        <v>0</v>
      </c>
      <c r="AA45" s="45">
        <f>_xlfn.XLOOKUP(SSQ_Raw!AA45,'SSQ Metadata'!$A$5:$A$8,'SSQ Metadata'!$B$5:$B$8)</f>
        <v>1</v>
      </c>
      <c r="AB45" s="45">
        <f>_xlfn.XLOOKUP(SSQ_Raw!AB45,'SSQ Metadata'!$A$5:$A$8,'SSQ Metadata'!$B$5:$B$8)</f>
        <v>0</v>
      </c>
      <c r="AC45" s="45">
        <f>_xlfn.XLOOKUP(SSQ_Raw!AC45,'SSQ Metadata'!$A$5:$A$8,'SSQ Metadata'!$B$5:$B$8)</f>
        <v>0</v>
      </c>
      <c r="AD45" s="45">
        <f>_xlfn.XLOOKUP(SSQ_Raw!AD45,'SSQ Metadata'!$A$5:$A$8,'SSQ Metadata'!$B$5:$B$8)</f>
        <v>0</v>
      </c>
      <c r="AE45" s="45">
        <f>_xlfn.XLOOKUP(SSQ_Raw!AE45,'SSQ Metadata'!$A$5:$A$8,'SSQ Metadata'!$B$5:$B$8)</f>
        <v>0</v>
      </c>
      <c r="AF45" s="45">
        <f>_xlfn.XLOOKUP(SSQ_Raw!AF45,'SSQ Metadata'!$A$5:$A$8,'SSQ Metadata'!$B$5:$B$8)</f>
        <v>0</v>
      </c>
      <c r="AG45" s="51">
        <f>_xlfn.XLOOKUP(SSQ_Raw!AG45,'SSQ Metadata'!$A$5:$A$8,'SSQ Metadata'!$B$5:$B$8)</f>
        <v>0</v>
      </c>
      <c r="AH45" s="3" t="s">
        <v>90</v>
      </c>
    </row>
    <row r="46" spans="1:34" x14ac:dyDescent="0.2">
      <c r="A46" s="65">
        <v>43</v>
      </c>
      <c r="B46" s="50">
        <f>_xlfn.XLOOKUP(SSQ_Raw!B46,'SSQ Metadata'!$A$5:$A$8,'SSQ Metadata'!$B$5:$B$8)</f>
        <v>0</v>
      </c>
      <c r="C46" s="45">
        <f>_xlfn.XLOOKUP(SSQ_Raw!C46,'SSQ Metadata'!$A$5:$A$8,'SSQ Metadata'!$B$5:$B$8)</f>
        <v>1</v>
      </c>
      <c r="D46" s="45">
        <f>_xlfn.XLOOKUP(SSQ_Raw!D46,'SSQ Metadata'!$A$5:$A$8,'SSQ Metadata'!$B$5:$B$8)</f>
        <v>1</v>
      </c>
      <c r="E46" s="45">
        <f>_xlfn.XLOOKUP(SSQ_Raw!E46,'SSQ Metadata'!$A$5:$A$8,'SSQ Metadata'!$B$5:$B$8)</f>
        <v>1</v>
      </c>
      <c r="F46" s="45">
        <f>_xlfn.XLOOKUP(SSQ_Raw!F46,'SSQ Metadata'!$A$5:$A$8,'SSQ Metadata'!$B$5:$B$8)</f>
        <v>0</v>
      </c>
      <c r="G46" s="45">
        <f>_xlfn.XLOOKUP(SSQ_Raw!G46,'SSQ Metadata'!$A$5:$A$8,'SSQ Metadata'!$B$5:$B$8)</f>
        <v>0</v>
      </c>
      <c r="H46" s="45">
        <f>_xlfn.XLOOKUP(SSQ_Raw!H46,'SSQ Metadata'!$A$5:$A$8,'SSQ Metadata'!$B$5:$B$8)</f>
        <v>0</v>
      </c>
      <c r="I46" s="45">
        <f>_xlfn.XLOOKUP(SSQ_Raw!I46,'SSQ Metadata'!$A$5:$A$8,'SSQ Metadata'!$B$5:$B$8)</f>
        <v>0</v>
      </c>
      <c r="J46" s="45">
        <f>_xlfn.XLOOKUP(SSQ_Raw!J46,'SSQ Metadata'!$A$5:$A$8,'SSQ Metadata'!$B$5:$B$8)</f>
        <v>1</v>
      </c>
      <c r="K46" s="45">
        <f>_xlfn.XLOOKUP(SSQ_Raw!K46,'SSQ Metadata'!$A$5:$A$8,'SSQ Metadata'!$B$5:$B$8)</f>
        <v>0</v>
      </c>
      <c r="L46" s="45">
        <f>_xlfn.XLOOKUP(SSQ_Raw!L46,'SSQ Metadata'!$A$5:$A$8,'SSQ Metadata'!$B$5:$B$8)</f>
        <v>0</v>
      </c>
      <c r="M46" s="45">
        <f>_xlfn.XLOOKUP(SSQ_Raw!M46,'SSQ Metadata'!$A$5:$A$8,'SSQ Metadata'!$B$5:$B$8)</f>
        <v>0</v>
      </c>
      <c r="N46" s="45">
        <f>_xlfn.XLOOKUP(SSQ_Raw!N46,'SSQ Metadata'!$A$5:$A$8,'SSQ Metadata'!$B$5:$B$8)</f>
        <v>0</v>
      </c>
      <c r="O46" s="45">
        <f>_xlfn.XLOOKUP(SSQ_Raw!O46,'SSQ Metadata'!$A$5:$A$8,'SSQ Metadata'!$B$5:$B$8)</f>
        <v>0</v>
      </c>
      <c r="P46" s="45">
        <f>_xlfn.XLOOKUP(SSQ_Raw!P46,'SSQ Metadata'!$A$5:$A$8,'SSQ Metadata'!$B$5:$B$8)</f>
        <v>0</v>
      </c>
      <c r="Q46" s="45">
        <f>_xlfn.XLOOKUP(SSQ_Raw!Q46,'SSQ Metadata'!$A$5:$A$8,'SSQ Metadata'!$B$5:$B$8)</f>
        <v>0</v>
      </c>
      <c r="R46" s="45">
        <f>_xlfn.XLOOKUP(SSQ_Raw!R46,'SSQ Metadata'!$A$5:$A$8,'SSQ Metadata'!$B$5:$B$8)</f>
        <v>0</v>
      </c>
      <c r="S46" s="45">
        <f>_xlfn.XLOOKUP(SSQ_Raw!S46,'SSQ Metadata'!$A$5:$A$8,'SSQ Metadata'!$B$5:$B$8)</f>
        <v>1</v>
      </c>
      <c r="T46" s="45">
        <f>_xlfn.XLOOKUP(SSQ_Raw!T46,'SSQ Metadata'!$A$5:$A$8,'SSQ Metadata'!$B$5:$B$8)</f>
        <v>0</v>
      </c>
      <c r="U46" s="45">
        <f>_xlfn.XLOOKUP(SSQ_Raw!U46,'SSQ Metadata'!$A$5:$A$8,'SSQ Metadata'!$B$5:$B$8)</f>
        <v>2</v>
      </c>
      <c r="V46" s="45">
        <f>_xlfn.XLOOKUP(SSQ_Raw!V46,'SSQ Metadata'!$A$5:$A$8,'SSQ Metadata'!$B$5:$B$8)</f>
        <v>0</v>
      </c>
      <c r="W46" s="45">
        <f>_xlfn.XLOOKUP(SSQ_Raw!W46,'SSQ Metadata'!$A$5:$A$8,'SSQ Metadata'!$B$5:$B$8)</f>
        <v>0</v>
      </c>
      <c r="X46" s="45">
        <f>_xlfn.XLOOKUP(SSQ_Raw!X46,'SSQ Metadata'!$A$5:$A$8,'SSQ Metadata'!$B$5:$B$8)</f>
        <v>0</v>
      </c>
      <c r="Y46" s="45">
        <f>_xlfn.XLOOKUP(SSQ_Raw!Y46,'SSQ Metadata'!$A$5:$A$8,'SSQ Metadata'!$B$5:$B$8)</f>
        <v>0</v>
      </c>
      <c r="Z46" s="45">
        <f>_xlfn.XLOOKUP(SSQ_Raw!Z46,'SSQ Metadata'!$A$5:$A$8,'SSQ Metadata'!$B$5:$B$8)</f>
        <v>0</v>
      </c>
      <c r="AA46" s="45">
        <f>_xlfn.XLOOKUP(SSQ_Raw!AA46,'SSQ Metadata'!$A$5:$A$8,'SSQ Metadata'!$B$5:$B$8)</f>
        <v>0</v>
      </c>
      <c r="AB46" s="45">
        <f>_xlfn.XLOOKUP(SSQ_Raw!AB46,'SSQ Metadata'!$A$5:$A$8,'SSQ Metadata'!$B$5:$B$8)</f>
        <v>1</v>
      </c>
      <c r="AC46" s="45">
        <f>_xlfn.XLOOKUP(SSQ_Raw!AC46,'SSQ Metadata'!$A$5:$A$8,'SSQ Metadata'!$B$5:$B$8)</f>
        <v>0</v>
      </c>
      <c r="AD46" s="45">
        <f>_xlfn.XLOOKUP(SSQ_Raw!AD46,'SSQ Metadata'!$A$5:$A$8,'SSQ Metadata'!$B$5:$B$8)</f>
        <v>0</v>
      </c>
      <c r="AE46" s="45">
        <f>_xlfn.XLOOKUP(SSQ_Raw!AE46,'SSQ Metadata'!$A$5:$A$8,'SSQ Metadata'!$B$5:$B$8)</f>
        <v>0</v>
      </c>
      <c r="AF46" s="45">
        <f>_xlfn.XLOOKUP(SSQ_Raw!AF46,'SSQ Metadata'!$A$5:$A$8,'SSQ Metadata'!$B$5:$B$8)</f>
        <v>0</v>
      </c>
      <c r="AG46" s="51">
        <f>_xlfn.XLOOKUP(SSQ_Raw!AG46,'SSQ Metadata'!$A$5:$A$8,'SSQ Metadata'!$B$5:$B$8)</f>
        <v>0</v>
      </c>
      <c r="AH46" s="3" t="s">
        <v>91</v>
      </c>
    </row>
    <row r="47" spans="1:34" x14ac:dyDescent="0.2">
      <c r="A47" s="65">
        <v>44</v>
      </c>
      <c r="B47" s="50">
        <f>_xlfn.XLOOKUP(SSQ_Raw!B47,'SSQ Metadata'!$A$5:$A$8,'SSQ Metadata'!$B$5:$B$8)</f>
        <v>1</v>
      </c>
      <c r="C47" s="45">
        <f>_xlfn.XLOOKUP(SSQ_Raw!C47,'SSQ Metadata'!$A$5:$A$8,'SSQ Metadata'!$B$5:$B$8)</f>
        <v>2</v>
      </c>
      <c r="D47" s="45">
        <f>_xlfn.XLOOKUP(SSQ_Raw!D47,'SSQ Metadata'!$A$5:$A$8,'SSQ Metadata'!$B$5:$B$8)</f>
        <v>1</v>
      </c>
      <c r="E47" s="45">
        <f>_xlfn.XLOOKUP(SSQ_Raw!E47,'SSQ Metadata'!$A$5:$A$8,'SSQ Metadata'!$B$5:$B$8)</f>
        <v>1</v>
      </c>
      <c r="F47" s="45">
        <f>_xlfn.XLOOKUP(SSQ_Raw!F47,'SSQ Metadata'!$A$5:$A$8,'SSQ Metadata'!$B$5:$B$8)</f>
        <v>1</v>
      </c>
      <c r="G47" s="45">
        <f>_xlfn.XLOOKUP(SSQ_Raw!G47,'SSQ Metadata'!$A$5:$A$8,'SSQ Metadata'!$B$5:$B$8)</f>
        <v>0</v>
      </c>
      <c r="H47" s="45">
        <f>_xlfn.XLOOKUP(SSQ_Raw!H47,'SSQ Metadata'!$A$5:$A$8,'SSQ Metadata'!$B$5:$B$8)</f>
        <v>0</v>
      </c>
      <c r="I47" s="45">
        <f>_xlfn.XLOOKUP(SSQ_Raw!I47,'SSQ Metadata'!$A$5:$A$8,'SSQ Metadata'!$B$5:$B$8)</f>
        <v>0</v>
      </c>
      <c r="J47" s="45">
        <f>_xlfn.XLOOKUP(SSQ_Raw!J47,'SSQ Metadata'!$A$5:$A$8,'SSQ Metadata'!$B$5:$B$8)</f>
        <v>1</v>
      </c>
      <c r="K47" s="45">
        <f>_xlfn.XLOOKUP(SSQ_Raw!K47,'SSQ Metadata'!$A$5:$A$8,'SSQ Metadata'!$B$5:$B$8)</f>
        <v>1</v>
      </c>
      <c r="L47" s="45">
        <f>_xlfn.XLOOKUP(SSQ_Raw!L47,'SSQ Metadata'!$A$5:$A$8,'SSQ Metadata'!$B$5:$B$8)</f>
        <v>0</v>
      </c>
      <c r="M47" s="45">
        <f>_xlfn.XLOOKUP(SSQ_Raw!M47,'SSQ Metadata'!$A$5:$A$8,'SSQ Metadata'!$B$5:$B$8)</f>
        <v>0</v>
      </c>
      <c r="N47" s="45">
        <f>_xlfn.XLOOKUP(SSQ_Raw!N47,'SSQ Metadata'!$A$5:$A$8,'SSQ Metadata'!$B$5:$B$8)</f>
        <v>0</v>
      </c>
      <c r="O47" s="45">
        <f>_xlfn.XLOOKUP(SSQ_Raw!O47,'SSQ Metadata'!$A$5:$A$8,'SSQ Metadata'!$B$5:$B$8)</f>
        <v>0</v>
      </c>
      <c r="P47" s="45">
        <f>_xlfn.XLOOKUP(SSQ_Raw!P47,'SSQ Metadata'!$A$5:$A$8,'SSQ Metadata'!$B$5:$B$8)</f>
        <v>0</v>
      </c>
      <c r="Q47" s="45">
        <f>_xlfn.XLOOKUP(SSQ_Raw!Q47,'SSQ Metadata'!$A$5:$A$8,'SSQ Metadata'!$B$5:$B$8)</f>
        <v>0</v>
      </c>
      <c r="R47" s="45">
        <f>_xlfn.XLOOKUP(SSQ_Raw!R47,'SSQ Metadata'!$A$5:$A$8,'SSQ Metadata'!$B$5:$B$8)</f>
        <v>3</v>
      </c>
      <c r="S47" s="45">
        <f>_xlfn.XLOOKUP(SSQ_Raw!S47,'SSQ Metadata'!$A$5:$A$8,'SSQ Metadata'!$B$5:$B$8)</f>
        <v>1</v>
      </c>
      <c r="T47" s="45">
        <f>_xlfn.XLOOKUP(SSQ_Raw!T47,'SSQ Metadata'!$A$5:$A$8,'SSQ Metadata'!$B$5:$B$8)</f>
        <v>1</v>
      </c>
      <c r="U47" s="45">
        <f>_xlfn.XLOOKUP(SSQ_Raw!U47,'SSQ Metadata'!$A$5:$A$8,'SSQ Metadata'!$B$5:$B$8)</f>
        <v>3</v>
      </c>
      <c r="V47" s="45">
        <f>_xlfn.XLOOKUP(SSQ_Raw!V47,'SSQ Metadata'!$A$5:$A$8,'SSQ Metadata'!$B$5:$B$8)</f>
        <v>1</v>
      </c>
      <c r="W47" s="45">
        <f>_xlfn.XLOOKUP(SSQ_Raw!W47,'SSQ Metadata'!$A$5:$A$8,'SSQ Metadata'!$B$5:$B$8)</f>
        <v>0</v>
      </c>
      <c r="X47" s="45">
        <f>_xlfn.XLOOKUP(SSQ_Raw!X47,'SSQ Metadata'!$A$5:$A$8,'SSQ Metadata'!$B$5:$B$8)</f>
        <v>0</v>
      </c>
      <c r="Y47" s="45">
        <f>_xlfn.XLOOKUP(SSQ_Raw!Y47,'SSQ Metadata'!$A$5:$A$8,'SSQ Metadata'!$B$5:$B$8)</f>
        <v>3</v>
      </c>
      <c r="Z47" s="45">
        <f>_xlfn.XLOOKUP(SSQ_Raw!Z47,'SSQ Metadata'!$A$5:$A$8,'SSQ Metadata'!$B$5:$B$8)</f>
        <v>2</v>
      </c>
      <c r="AA47" s="45">
        <f>_xlfn.XLOOKUP(SSQ_Raw!AA47,'SSQ Metadata'!$A$5:$A$8,'SSQ Metadata'!$B$5:$B$8)</f>
        <v>1</v>
      </c>
      <c r="AB47" s="45">
        <f>_xlfn.XLOOKUP(SSQ_Raw!AB47,'SSQ Metadata'!$A$5:$A$8,'SSQ Metadata'!$B$5:$B$8)</f>
        <v>1</v>
      </c>
      <c r="AC47" s="45">
        <f>_xlfn.XLOOKUP(SSQ_Raw!AC47,'SSQ Metadata'!$A$5:$A$8,'SSQ Metadata'!$B$5:$B$8)</f>
        <v>2</v>
      </c>
      <c r="AD47" s="45">
        <f>_xlfn.XLOOKUP(SSQ_Raw!AD47,'SSQ Metadata'!$A$5:$A$8,'SSQ Metadata'!$B$5:$B$8)</f>
        <v>3</v>
      </c>
      <c r="AE47" s="45">
        <f>_xlfn.XLOOKUP(SSQ_Raw!AE47,'SSQ Metadata'!$A$5:$A$8,'SSQ Metadata'!$B$5:$B$8)</f>
        <v>0</v>
      </c>
      <c r="AF47" s="45">
        <f>_xlfn.XLOOKUP(SSQ_Raw!AF47,'SSQ Metadata'!$A$5:$A$8,'SSQ Metadata'!$B$5:$B$8)</f>
        <v>3</v>
      </c>
      <c r="AG47" s="51">
        <f>_xlfn.XLOOKUP(SSQ_Raw!AG47,'SSQ Metadata'!$A$5:$A$8,'SSQ Metadata'!$B$5:$B$8)</f>
        <v>0</v>
      </c>
      <c r="AH47" s="3" t="s">
        <v>92</v>
      </c>
    </row>
    <row r="48" spans="1:34" x14ac:dyDescent="0.2">
      <c r="A48" s="65">
        <v>45</v>
      </c>
      <c r="B48" s="50"/>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c r="AE48" s="45"/>
      <c r="AF48" s="45"/>
      <c r="AG48" s="51"/>
    </row>
    <row r="49" spans="1:33" x14ac:dyDescent="0.2">
      <c r="A49" s="65">
        <v>46</v>
      </c>
      <c r="B49" s="50"/>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51"/>
    </row>
    <row r="50" spans="1:33" x14ac:dyDescent="0.2">
      <c r="A50" s="65">
        <v>47</v>
      </c>
      <c r="B50" s="50"/>
      <c r="C50" s="45"/>
      <c r="D50" s="45"/>
      <c r="E50" s="45"/>
      <c r="F50" s="45"/>
      <c r="G50" s="45"/>
      <c r="H50" s="45"/>
      <c r="I50" s="45"/>
      <c r="J50" s="45"/>
      <c r="K50" s="45"/>
      <c r="L50" s="45"/>
      <c r="M50" s="45"/>
      <c r="N50" s="45"/>
      <c r="O50" s="45"/>
      <c r="P50" s="45"/>
      <c r="Q50" s="45"/>
      <c r="R50" s="45"/>
      <c r="S50" s="45"/>
      <c r="T50" s="45"/>
      <c r="U50" s="45"/>
      <c r="V50" s="45"/>
      <c r="W50" s="45"/>
      <c r="X50" s="45"/>
      <c r="Y50" s="45"/>
      <c r="Z50" s="45"/>
      <c r="AA50" s="45"/>
      <c r="AB50" s="45"/>
      <c r="AC50" s="45"/>
      <c r="AD50" s="45"/>
      <c r="AE50" s="45"/>
      <c r="AF50" s="45"/>
      <c r="AG50" s="51"/>
    </row>
    <row r="51" spans="1:33" x14ac:dyDescent="0.2">
      <c r="A51" s="65">
        <v>48</v>
      </c>
      <c r="B51" s="50"/>
      <c r="C51" s="45"/>
      <c r="D51" s="45"/>
      <c r="E51" s="45"/>
      <c r="F51" s="45"/>
      <c r="G51" s="45"/>
      <c r="H51" s="45"/>
      <c r="I51" s="45"/>
      <c r="J51" s="45"/>
      <c r="K51" s="45"/>
      <c r="L51" s="45"/>
      <c r="M51" s="45"/>
      <c r="N51" s="45"/>
      <c r="O51" s="45"/>
      <c r="P51" s="45"/>
      <c r="Q51" s="45"/>
      <c r="R51" s="45"/>
      <c r="S51" s="45"/>
      <c r="T51" s="45"/>
      <c r="U51" s="45"/>
      <c r="V51" s="45"/>
      <c r="W51" s="45"/>
      <c r="X51" s="45"/>
      <c r="Y51" s="45"/>
      <c r="Z51" s="45"/>
      <c r="AA51" s="45"/>
      <c r="AB51" s="45"/>
      <c r="AC51" s="45"/>
      <c r="AD51" s="45"/>
      <c r="AE51" s="45"/>
      <c r="AF51" s="45"/>
      <c r="AG51" s="51"/>
    </row>
    <row r="52" spans="1:33" x14ac:dyDescent="0.2">
      <c r="A52" s="65">
        <v>49</v>
      </c>
      <c r="B52" s="50"/>
      <c r="C52" s="45"/>
      <c r="D52" s="45"/>
      <c r="E52" s="45"/>
      <c r="F52" s="45"/>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51"/>
    </row>
    <row r="53" spans="1:33" x14ac:dyDescent="0.2">
      <c r="A53" s="65">
        <v>50</v>
      </c>
      <c r="B53" s="50"/>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51"/>
    </row>
    <row r="54" spans="1:33" x14ac:dyDescent="0.2">
      <c r="A54" s="65">
        <v>51</v>
      </c>
      <c r="B54" s="50"/>
      <c r="C54" s="45"/>
      <c r="D54" s="45"/>
      <c r="E54" s="45"/>
      <c r="F54" s="45"/>
      <c r="G54" s="45"/>
      <c r="H54" s="45"/>
      <c r="I54" s="45"/>
      <c r="J54" s="45"/>
      <c r="K54" s="45"/>
      <c r="L54" s="45"/>
      <c r="M54" s="45"/>
      <c r="N54" s="45"/>
      <c r="O54" s="45"/>
      <c r="P54" s="45"/>
      <c r="Q54" s="45"/>
      <c r="R54" s="45"/>
      <c r="S54" s="45"/>
      <c r="T54" s="45"/>
      <c r="U54" s="45"/>
      <c r="V54" s="45"/>
      <c r="W54" s="45"/>
      <c r="X54" s="45"/>
      <c r="Y54" s="45"/>
      <c r="Z54" s="45"/>
      <c r="AA54" s="45"/>
      <c r="AB54" s="45"/>
      <c r="AC54" s="45"/>
      <c r="AD54" s="45"/>
      <c r="AE54" s="45"/>
      <c r="AF54" s="45"/>
      <c r="AG54" s="51"/>
    </row>
    <row r="55" spans="1:33" x14ac:dyDescent="0.2">
      <c r="A55" s="65">
        <v>52</v>
      </c>
      <c r="B55" s="50"/>
      <c r="C55" s="45"/>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51"/>
    </row>
    <row r="56" spans="1:33" x14ac:dyDescent="0.2">
      <c r="A56" s="65">
        <v>53</v>
      </c>
      <c r="B56" s="50"/>
      <c r="C56" s="45"/>
      <c r="D56" s="45"/>
      <c r="E56" s="45"/>
      <c r="F56" s="45"/>
      <c r="G56" s="45"/>
      <c r="H56" s="45"/>
      <c r="I56" s="45"/>
      <c r="J56" s="45"/>
      <c r="K56" s="45"/>
      <c r="L56" s="45"/>
      <c r="M56" s="45"/>
      <c r="N56" s="45"/>
      <c r="O56" s="45"/>
      <c r="P56" s="45"/>
      <c r="Q56" s="45"/>
      <c r="R56" s="45"/>
      <c r="S56" s="45"/>
      <c r="T56" s="45"/>
      <c r="U56" s="45"/>
      <c r="V56" s="45"/>
      <c r="W56" s="45"/>
      <c r="X56" s="45"/>
      <c r="Y56" s="45"/>
      <c r="Z56" s="45"/>
      <c r="AA56" s="45"/>
      <c r="AB56" s="45"/>
      <c r="AC56" s="45"/>
      <c r="AD56" s="45"/>
      <c r="AE56" s="45"/>
      <c r="AF56" s="45"/>
      <c r="AG56" s="51"/>
    </row>
    <row r="57" spans="1:33" x14ac:dyDescent="0.2">
      <c r="A57" s="65">
        <v>54</v>
      </c>
      <c r="B57" s="50"/>
      <c r="C57" s="45"/>
      <c r="D57" s="45"/>
      <c r="E57" s="45"/>
      <c r="F57" s="45"/>
      <c r="G57" s="45"/>
      <c r="H57" s="45"/>
      <c r="I57" s="45"/>
      <c r="J57" s="45"/>
      <c r="K57" s="45"/>
      <c r="L57" s="45"/>
      <c r="M57" s="45"/>
      <c r="N57" s="45"/>
      <c r="O57" s="45"/>
      <c r="P57" s="45"/>
      <c r="Q57" s="45"/>
      <c r="R57" s="45"/>
      <c r="S57" s="45"/>
      <c r="T57" s="45"/>
      <c r="U57" s="45"/>
      <c r="V57" s="45"/>
      <c r="W57" s="45"/>
      <c r="X57" s="45"/>
      <c r="Y57" s="45"/>
      <c r="Z57" s="45"/>
      <c r="AA57" s="45"/>
      <c r="AB57" s="45"/>
      <c r="AC57" s="45"/>
      <c r="AD57" s="45"/>
      <c r="AE57" s="45"/>
      <c r="AF57" s="45"/>
      <c r="AG57" s="51"/>
    </row>
    <row r="58" spans="1:33" x14ac:dyDescent="0.2">
      <c r="A58" s="65">
        <v>55</v>
      </c>
      <c r="B58" s="50"/>
      <c r="C58" s="45"/>
      <c r="D58" s="45"/>
      <c r="E58" s="45"/>
      <c r="F58" s="45"/>
      <c r="G58" s="45"/>
      <c r="H58" s="45"/>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51"/>
    </row>
    <row r="59" spans="1:33" x14ac:dyDescent="0.2">
      <c r="A59" s="65">
        <v>56</v>
      </c>
      <c r="B59" s="50"/>
      <c r="C59" s="45"/>
      <c r="D59" s="45"/>
      <c r="E59" s="45"/>
      <c r="F59" s="45"/>
      <c r="G59" s="45"/>
      <c r="H59" s="45"/>
      <c r="I59" s="45"/>
      <c r="J59" s="45"/>
      <c r="K59" s="45"/>
      <c r="L59" s="45"/>
      <c r="M59" s="45"/>
      <c r="N59" s="45"/>
      <c r="O59" s="45"/>
      <c r="P59" s="45"/>
      <c r="Q59" s="45"/>
      <c r="R59" s="45"/>
      <c r="S59" s="45"/>
      <c r="T59" s="45"/>
      <c r="U59" s="45"/>
      <c r="V59" s="45"/>
      <c r="W59" s="45"/>
      <c r="X59" s="45"/>
      <c r="Y59" s="45"/>
      <c r="Z59" s="45"/>
      <c r="AA59" s="45"/>
      <c r="AB59" s="45"/>
      <c r="AC59" s="45"/>
      <c r="AD59" s="45"/>
      <c r="AE59" s="45"/>
      <c r="AF59" s="45"/>
      <c r="AG59" s="51"/>
    </row>
    <row r="60" spans="1:33" x14ac:dyDescent="0.2">
      <c r="A60" s="65">
        <v>57</v>
      </c>
      <c r="B60" s="50"/>
      <c r="C60" s="45"/>
      <c r="D60" s="45"/>
      <c r="E60" s="45"/>
      <c r="F60" s="45"/>
      <c r="G60" s="45"/>
      <c r="H60" s="45"/>
      <c r="I60" s="45"/>
      <c r="J60" s="45"/>
      <c r="K60" s="45"/>
      <c r="L60" s="45"/>
      <c r="M60" s="45"/>
      <c r="N60" s="45"/>
      <c r="O60" s="45"/>
      <c r="P60" s="45"/>
      <c r="Q60" s="45"/>
      <c r="R60" s="45"/>
      <c r="S60" s="45"/>
      <c r="T60" s="45"/>
      <c r="U60" s="45"/>
      <c r="V60" s="45"/>
      <c r="W60" s="45"/>
      <c r="X60" s="45"/>
      <c r="Y60" s="45"/>
      <c r="Z60" s="45"/>
      <c r="AA60" s="45"/>
      <c r="AB60" s="45"/>
      <c r="AC60" s="45"/>
      <c r="AD60" s="45"/>
      <c r="AE60" s="45"/>
      <c r="AF60" s="45"/>
      <c r="AG60" s="51"/>
    </row>
    <row r="61" spans="1:33" x14ac:dyDescent="0.2">
      <c r="A61" s="65">
        <v>58</v>
      </c>
      <c r="B61" s="50"/>
      <c r="C61" s="45"/>
      <c r="D61" s="45"/>
      <c r="E61" s="45"/>
      <c r="F61" s="45"/>
      <c r="G61" s="45"/>
      <c r="H61" s="45"/>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51"/>
    </row>
    <row r="62" spans="1:33" x14ac:dyDescent="0.2">
      <c r="A62" s="65">
        <v>59</v>
      </c>
      <c r="B62" s="50"/>
      <c r="C62" s="45"/>
      <c r="D62" s="45"/>
      <c r="E62" s="45"/>
      <c r="F62" s="45"/>
      <c r="G62" s="45"/>
      <c r="H62" s="45"/>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51"/>
    </row>
    <row r="63" spans="1:33" x14ac:dyDescent="0.2">
      <c r="A63" s="65">
        <v>60</v>
      </c>
      <c r="B63" s="50"/>
      <c r="C63" s="45"/>
      <c r="D63" s="45"/>
      <c r="E63" s="45"/>
      <c r="F63" s="45"/>
      <c r="G63" s="45"/>
      <c r="H63" s="45"/>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51"/>
    </row>
    <row r="64" spans="1:33" x14ac:dyDescent="0.2">
      <c r="A64" s="65">
        <v>61</v>
      </c>
      <c r="B64" s="50"/>
      <c r="C64" s="45"/>
      <c r="D64" s="45"/>
      <c r="E64" s="45"/>
      <c r="F64" s="45"/>
      <c r="G64" s="45"/>
      <c r="H64" s="45"/>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51"/>
    </row>
    <row r="65" spans="1:33" x14ac:dyDescent="0.2">
      <c r="A65" s="65">
        <v>62</v>
      </c>
      <c r="B65" s="50"/>
      <c r="C65" s="45"/>
      <c r="D65" s="45"/>
      <c r="E65" s="45"/>
      <c r="F65" s="45"/>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51"/>
    </row>
    <row r="66" spans="1:33" x14ac:dyDescent="0.2">
      <c r="A66" s="65">
        <v>63</v>
      </c>
      <c r="B66" s="50"/>
      <c r="C66" s="45"/>
      <c r="D66" s="45"/>
      <c r="E66" s="45"/>
      <c r="F66" s="45"/>
      <c r="G66" s="45"/>
      <c r="H66" s="45"/>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51"/>
    </row>
    <row r="67" spans="1:33" x14ac:dyDescent="0.2">
      <c r="A67" s="65">
        <v>64</v>
      </c>
      <c r="B67" s="50"/>
      <c r="C67" s="45"/>
      <c r="D67" s="45"/>
      <c r="E67" s="45"/>
      <c r="F67" s="45"/>
      <c r="G67" s="45"/>
      <c r="H67" s="45"/>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51"/>
    </row>
    <row r="68" spans="1:33" x14ac:dyDescent="0.2">
      <c r="A68" s="65">
        <v>65</v>
      </c>
      <c r="B68" s="50"/>
      <c r="C68" s="45"/>
      <c r="D68" s="45"/>
      <c r="E68" s="45"/>
      <c r="F68" s="45"/>
      <c r="G68" s="45"/>
      <c r="H68" s="45"/>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51"/>
    </row>
    <row r="69" spans="1:33" x14ac:dyDescent="0.2">
      <c r="A69" s="65">
        <v>66</v>
      </c>
      <c r="B69" s="50"/>
      <c r="C69" s="45"/>
      <c r="D69" s="45"/>
      <c r="E69" s="45"/>
      <c r="F69" s="45"/>
      <c r="G69" s="45"/>
      <c r="H69" s="45"/>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51"/>
    </row>
    <row r="70" spans="1:33" x14ac:dyDescent="0.2">
      <c r="A70" s="65">
        <v>67</v>
      </c>
      <c r="B70" s="50"/>
      <c r="C70" s="45"/>
      <c r="D70" s="45"/>
      <c r="E70" s="45"/>
      <c r="F70" s="45"/>
      <c r="G70" s="45"/>
      <c r="H70" s="45"/>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51"/>
    </row>
    <row r="71" spans="1:33" x14ac:dyDescent="0.2">
      <c r="A71" s="65">
        <v>68</v>
      </c>
      <c r="B71" s="50"/>
      <c r="C71" s="45"/>
      <c r="D71" s="45"/>
      <c r="E71" s="45"/>
      <c r="F71" s="45"/>
      <c r="G71" s="45"/>
      <c r="H71" s="45"/>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51"/>
    </row>
    <row r="72" spans="1:33" x14ac:dyDescent="0.2">
      <c r="A72" s="65">
        <v>69</v>
      </c>
      <c r="B72" s="50"/>
      <c r="C72" s="45"/>
      <c r="D72" s="45"/>
      <c r="E72" s="45"/>
      <c r="F72" s="45"/>
      <c r="G72" s="45"/>
      <c r="H72" s="45"/>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51"/>
    </row>
    <row r="73" spans="1:33" x14ac:dyDescent="0.2">
      <c r="A73" s="65">
        <v>70</v>
      </c>
      <c r="B73" s="50"/>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51"/>
    </row>
    <row r="74" spans="1:33" x14ac:dyDescent="0.2">
      <c r="A74" s="65">
        <v>71</v>
      </c>
      <c r="B74" s="50"/>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51"/>
    </row>
    <row r="75" spans="1:33" x14ac:dyDescent="0.2">
      <c r="A75" s="65">
        <v>72</v>
      </c>
      <c r="B75" s="50"/>
      <c r="C75" s="45"/>
      <c r="D75" s="45"/>
      <c r="E75" s="45"/>
      <c r="F75" s="45"/>
      <c r="G75" s="45"/>
      <c r="H75" s="45"/>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51"/>
    </row>
    <row r="76" spans="1:33" x14ac:dyDescent="0.2">
      <c r="A76" s="65">
        <v>73</v>
      </c>
      <c r="B76" s="50"/>
      <c r="C76" s="45"/>
      <c r="D76" s="45"/>
      <c r="E76" s="45"/>
      <c r="F76" s="45"/>
      <c r="G76" s="45"/>
      <c r="H76" s="45"/>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51"/>
    </row>
    <row r="77" spans="1:33" x14ac:dyDescent="0.2">
      <c r="A77" s="65">
        <v>74</v>
      </c>
      <c r="B77" s="50"/>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51"/>
    </row>
    <row r="78" spans="1:33" x14ac:dyDescent="0.2">
      <c r="A78" s="65">
        <v>75</v>
      </c>
      <c r="B78" s="50"/>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51"/>
    </row>
    <row r="79" spans="1:33" x14ac:dyDescent="0.2">
      <c r="A79" s="65">
        <v>76</v>
      </c>
      <c r="B79" s="50"/>
      <c r="C79" s="45"/>
      <c r="D79" s="45"/>
      <c r="E79" s="45"/>
      <c r="F79" s="45"/>
      <c r="G79" s="45"/>
      <c r="H79" s="45"/>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51"/>
    </row>
    <row r="80" spans="1:33" x14ac:dyDescent="0.2">
      <c r="A80" s="65">
        <v>77</v>
      </c>
      <c r="B80" s="50"/>
      <c r="C80" s="45"/>
      <c r="D80" s="45"/>
      <c r="E80" s="45"/>
      <c r="F80" s="45"/>
      <c r="G80" s="45"/>
      <c r="H80" s="45"/>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51"/>
    </row>
    <row r="81" spans="1:33" x14ac:dyDescent="0.2">
      <c r="A81" s="65">
        <v>78</v>
      </c>
      <c r="B81" s="50"/>
      <c r="C81" s="45"/>
      <c r="D81" s="45"/>
      <c r="E81" s="45"/>
      <c r="F81" s="45"/>
      <c r="G81" s="45"/>
      <c r="H81" s="45"/>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51"/>
    </row>
    <row r="82" spans="1:33" x14ac:dyDescent="0.2">
      <c r="A82" s="65">
        <v>79</v>
      </c>
      <c r="B82" s="50"/>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51"/>
    </row>
    <row r="83" spans="1:33" x14ac:dyDescent="0.2">
      <c r="A83" s="65">
        <v>80</v>
      </c>
      <c r="B83" s="50"/>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51"/>
    </row>
    <row r="84" spans="1:33" x14ac:dyDescent="0.2">
      <c r="A84" s="65">
        <v>81</v>
      </c>
      <c r="B84" s="50"/>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51"/>
    </row>
    <row r="85" spans="1:33" x14ac:dyDescent="0.2">
      <c r="A85" s="65">
        <v>82</v>
      </c>
      <c r="B85" s="50"/>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51"/>
    </row>
    <row r="86" spans="1:33" x14ac:dyDescent="0.2">
      <c r="A86" s="65">
        <v>83</v>
      </c>
      <c r="B86" s="50"/>
      <c r="C86" s="45"/>
      <c r="D86" s="45"/>
      <c r="E86" s="45"/>
      <c r="F86" s="45"/>
      <c r="G86" s="45"/>
      <c r="H86" s="45"/>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51"/>
    </row>
    <row r="87" spans="1:33" x14ac:dyDescent="0.2">
      <c r="A87" s="65">
        <v>84</v>
      </c>
      <c r="B87" s="50"/>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51"/>
    </row>
    <row r="88" spans="1:33" x14ac:dyDescent="0.2">
      <c r="A88" s="65">
        <v>85</v>
      </c>
      <c r="B88" s="50"/>
      <c r="C88" s="45"/>
      <c r="D88" s="45"/>
      <c r="E88" s="45"/>
      <c r="F88" s="45"/>
      <c r="G88" s="45"/>
      <c r="H88" s="45"/>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51"/>
    </row>
    <row r="89" spans="1:33" x14ac:dyDescent="0.2">
      <c r="A89" s="65">
        <v>86</v>
      </c>
      <c r="B89" s="50"/>
      <c r="C89" s="45"/>
      <c r="D89" s="45"/>
      <c r="E89" s="45"/>
      <c r="F89" s="45"/>
      <c r="G89" s="45"/>
      <c r="H89" s="45"/>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51"/>
    </row>
    <row r="90" spans="1:33" x14ac:dyDescent="0.2">
      <c r="A90" s="65">
        <v>87</v>
      </c>
      <c r="B90" s="50"/>
      <c r="C90" s="45"/>
      <c r="D90" s="45"/>
      <c r="E90" s="45"/>
      <c r="F90" s="45"/>
      <c r="G90" s="45"/>
      <c r="H90" s="45"/>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51"/>
    </row>
    <row r="91" spans="1:33" x14ac:dyDescent="0.2">
      <c r="A91" s="65">
        <v>88</v>
      </c>
      <c r="B91" s="50"/>
      <c r="C91" s="45"/>
      <c r="D91" s="45"/>
      <c r="E91" s="45"/>
      <c r="F91" s="45"/>
      <c r="G91" s="45"/>
      <c r="H91" s="45"/>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51"/>
    </row>
    <row r="92" spans="1:33" x14ac:dyDescent="0.2">
      <c r="A92" s="65">
        <v>89</v>
      </c>
      <c r="B92" s="50"/>
      <c r="C92" s="45"/>
      <c r="D92" s="45"/>
      <c r="E92" s="45"/>
      <c r="F92" s="45"/>
      <c r="G92" s="45"/>
      <c r="H92" s="45"/>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51"/>
    </row>
    <row r="93" spans="1:33" x14ac:dyDescent="0.2">
      <c r="A93" s="65">
        <v>90</v>
      </c>
      <c r="B93" s="50"/>
      <c r="C93" s="45"/>
      <c r="D93" s="45"/>
      <c r="E93" s="45"/>
      <c r="F93" s="45"/>
      <c r="G93" s="45"/>
      <c r="H93" s="45"/>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51"/>
    </row>
    <row r="94" spans="1:33" x14ac:dyDescent="0.2">
      <c r="A94" s="65">
        <v>91</v>
      </c>
      <c r="B94" s="50"/>
      <c r="C94" s="45"/>
      <c r="D94" s="45"/>
      <c r="E94" s="45"/>
      <c r="F94" s="45"/>
      <c r="G94" s="45"/>
      <c r="H94" s="45"/>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51"/>
    </row>
    <row r="95" spans="1:33" x14ac:dyDescent="0.2">
      <c r="A95" s="65">
        <v>92</v>
      </c>
      <c r="B95" s="50"/>
      <c r="C95" s="45"/>
      <c r="D95" s="45"/>
      <c r="E95" s="45"/>
      <c r="F95" s="45"/>
      <c r="G95" s="45"/>
      <c r="H95" s="45"/>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51"/>
    </row>
    <row r="96" spans="1:33" x14ac:dyDescent="0.2">
      <c r="A96" s="65">
        <v>93</v>
      </c>
      <c r="B96" s="50"/>
      <c r="C96" s="45"/>
      <c r="D96" s="45"/>
      <c r="E96" s="45"/>
      <c r="F96" s="45"/>
      <c r="G96" s="45"/>
      <c r="H96" s="45"/>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51"/>
    </row>
    <row r="97" spans="1:33" x14ac:dyDescent="0.2">
      <c r="A97" s="65">
        <v>94</v>
      </c>
      <c r="B97" s="50"/>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51"/>
    </row>
    <row r="98" spans="1:33" x14ac:dyDescent="0.2">
      <c r="A98" s="65">
        <v>95</v>
      </c>
      <c r="B98" s="50"/>
      <c r="C98" s="45"/>
      <c r="D98" s="45"/>
      <c r="E98" s="45"/>
      <c r="F98" s="45"/>
      <c r="G98" s="45"/>
      <c r="H98" s="45"/>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51"/>
    </row>
    <row r="99" spans="1:33" x14ac:dyDescent="0.2">
      <c r="A99" s="65">
        <v>96</v>
      </c>
      <c r="B99" s="50"/>
      <c r="C99" s="45"/>
      <c r="D99" s="45"/>
      <c r="E99" s="45"/>
      <c r="F99" s="45"/>
      <c r="G99" s="45"/>
      <c r="H99" s="45"/>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51"/>
    </row>
    <row r="100" spans="1:33" x14ac:dyDescent="0.2">
      <c r="A100" s="65">
        <v>97</v>
      </c>
      <c r="B100" s="50"/>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51"/>
    </row>
    <row r="101" spans="1:33" x14ac:dyDescent="0.2">
      <c r="A101" s="65">
        <v>98</v>
      </c>
      <c r="B101" s="50"/>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51"/>
    </row>
    <row r="102" spans="1:33" x14ac:dyDescent="0.2">
      <c r="A102" s="65">
        <v>99</v>
      </c>
      <c r="B102" s="50"/>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51"/>
    </row>
    <row r="103" spans="1:33" ht="17" thickBot="1" x14ac:dyDescent="0.25">
      <c r="A103" s="66">
        <v>100</v>
      </c>
      <c r="B103" s="52"/>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4"/>
    </row>
  </sheetData>
  <mergeCells count="3">
    <mergeCell ref="R3:AG3"/>
    <mergeCell ref="B3:Q3"/>
    <mergeCell ref="A2:A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57C62-36FE-C648-9F87-C5709DD4D925}">
  <dimension ref="A1:S103"/>
  <sheetViews>
    <sheetView tabSelected="1" topLeftCell="A2" workbookViewId="0">
      <selection activeCell="H8" sqref="H8"/>
    </sheetView>
  </sheetViews>
  <sheetFormatPr baseColWidth="10" defaultRowHeight="16" x14ac:dyDescent="0.2"/>
  <cols>
    <col min="1" max="1" width="9.1640625" customWidth="1"/>
  </cols>
  <sheetData>
    <row r="1" spans="1:19" ht="27" x14ac:dyDescent="0.35">
      <c r="A1" s="5" t="s">
        <v>26</v>
      </c>
      <c r="B1" s="5"/>
      <c r="C1" s="5"/>
    </row>
    <row r="2" spans="1:19" ht="166" customHeight="1" x14ac:dyDescent="0.2">
      <c r="A2" s="69" t="s">
        <v>99</v>
      </c>
      <c r="B2" s="69"/>
      <c r="C2" s="69"/>
      <c r="D2" s="69"/>
      <c r="E2" s="69"/>
      <c r="F2" s="69"/>
      <c r="G2" s="69"/>
      <c r="H2" s="69"/>
      <c r="I2" s="69"/>
      <c r="J2" s="69"/>
      <c r="K2" s="69"/>
      <c r="L2" s="69"/>
      <c r="M2" s="69"/>
      <c r="N2" s="69"/>
    </row>
    <row r="3" spans="1:19" ht="20" thickBot="1" x14ac:dyDescent="0.3">
      <c r="A3" s="23" t="s">
        <v>94</v>
      </c>
      <c r="B3" s="71" t="s">
        <v>37</v>
      </c>
      <c r="C3" s="72" t="s">
        <v>38</v>
      </c>
      <c r="D3" s="72" t="s">
        <v>39</v>
      </c>
      <c r="E3" s="73" t="s">
        <v>40</v>
      </c>
      <c r="F3" s="74" t="s">
        <v>41</v>
      </c>
      <c r="G3" s="75" t="s">
        <v>42</v>
      </c>
      <c r="H3" s="75" t="s">
        <v>43</v>
      </c>
      <c r="I3" s="76" t="s">
        <v>44</v>
      </c>
      <c r="J3" s="77" t="s">
        <v>45</v>
      </c>
      <c r="K3" s="78" t="s">
        <v>46</v>
      </c>
      <c r="L3" s="78" t="s">
        <v>47</v>
      </c>
      <c r="M3" s="79" t="s">
        <v>48</v>
      </c>
      <c r="N3" s="80" t="s">
        <v>49</v>
      </c>
      <c r="O3" s="81" t="s">
        <v>50</v>
      </c>
      <c r="P3" s="82" t="s">
        <v>32</v>
      </c>
      <c r="Q3" s="83" t="s">
        <v>33</v>
      </c>
      <c r="R3" s="83" t="s">
        <v>34</v>
      </c>
      <c r="S3" s="84" t="s">
        <v>35</v>
      </c>
    </row>
    <row r="4" spans="1:19" x14ac:dyDescent="0.2">
      <c r="A4" s="70">
        <v>1</v>
      </c>
      <c r="B4" s="85">
        <f>SSQ_Intermediate!B4+SSQ_Intermediate!G4+SSQ_Intermediate!H4+SSQ_Intermediate!I4+SSQ_Intermediate!J4+SSQ_Intermediate!P4+SSQ_Intermediate!Q4</f>
        <v>0</v>
      </c>
      <c r="C4" s="86">
        <f>IF(AND(SSQ_Intermediate!R4="",SSQ_Intermediate!W4="",SSQ_Intermediate!X4="",SSQ_Intermediate!Y4="",SSQ_Intermediate!Z4="",SSQ_Intermediate!AF4="",SSQ_Intermediate!AG4=""),"",SUM(SSQ_Intermediate!R4,SSQ_Intermediate!W4,SSQ_Intermediate!X4,SSQ_Intermediate!Y4,SSQ_Intermediate!Z4,SSQ_Intermediate!AF4,SSQ_Intermediate!AG4))</f>
        <v>3</v>
      </c>
      <c r="D4" s="86">
        <f>B4*'SSQ Metadata'!$B$12</f>
        <v>0</v>
      </c>
      <c r="E4" s="87">
        <f>IF(C4="","",C4*'SSQ Metadata'!$B$12)</f>
        <v>28.619999999999997</v>
      </c>
      <c r="F4" s="88">
        <f>SSQ_Intermediate!B4+SSQ_Intermediate!C4+SSQ_Intermediate!D4+SSQ_Intermediate!E4+SSQ_Intermediate!F4+SSQ_Intermediate!J4+SSQ_Intermediate!L4</f>
        <v>0</v>
      </c>
      <c r="G4" s="89">
        <f>IF(AND(SSQ_Intermediate!R4="",SSQ_Intermediate!S4="",SSQ_Intermediate!T4="",SSQ_Intermediate!U4="",SSQ_Intermediate!V4="",SSQ_Intermediate!Z4="",SSQ_Intermediate!AB4=""),"",SUM(SSQ_Intermediate!R4,SSQ_Intermediate!S4,SSQ_Intermediate!T4,SSQ_Intermediate!U4,SSQ_Intermediate!V4,SSQ_Intermediate!Z4,SSQ_Intermediate!AB4))</f>
        <v>2</v>
      </c>
      <c r="H4" s="89">
        <f>F4*'SSQ Metadata'!$B$13</f>
        <v>0</v>
      </c>
      <c r="I4" s="90">
        <f>IF(G4="","",G4*'SSQ Metadata'!$B$13)</f>
        <v>15.16</v>
      </c>
      <c r="J4" s="91">
        <f>SSQ_Intermediate!F4+SSQ_Intermediate!I4+SSQ_Intermediate!K4+SSQ_Intermediate!L4+SSQ_Intermediate!M4+SSQ_Intermediate!N4+SSQ_Intermediate!O4</f>
        <v>0</v>
      </c>
      <c r="K4" s="92">
        <f>IF(AND(SSQ_Intermediate!V4="",SSQ_Intermediate!Y4="",SSQ_Intermediate!AA4="",SSQ_Intermediate!AB4="",SSQ_Intermediate!AC4="",SSQ_Intermediate!AD4="",SSQ_Intermediate!AE4=""),"",SUM(SSQ_Intermediate!V4,SSQ_Intermediate!Y4,SSQ_Intermediate!AA4,SSQ_Intermediate!AB4,SSQ_Intermediate!AC4,SSQ_Intermediate!AD4,SSQ_Intermediate!AE4))</f>
        <v>0</v>
      </c>
      <c r="L4" s="92">
        <f>J4*'SSQ Metadata'!$B$14</f>
        <v>0</v>
      </c>
      <c r="M4" s="93">
        <f>IF(K4="","",K4*'SSQ Metadata'!$B$14)</f>
        <v>0</v>
      </c>
      <c r="N4" s="94">
        <f>(B4+F4+J4)*'SSQ Metadata'!$B$15</f>
        <v>0</v>
      </c>
      <c r="O4" s="95">
        <f>IF(AND(C4="",G4="",K4=""),"",(C4+G4+K4)*'SSQ Metadata'!$B$15)</f>
        <v>18.700000000000003</v>
      </c>
      <c r="P4" s="96">
        <f>IF(E4="","",E4-D4)</f>
        <v>28.619999999999997</v>
      </c>
      <c r="Q4" s="97">
        <f>IF(I4="","",I4-H4)</f>
        <v>15.16</v>
      </c>
      <c r="R4" s="97">
        <f>IF(M4="","",M4-L4)</f>
        <v>0</v>
      </c>
      <c r="S4" s="98">
        <f>IF(O4="","",O4-N4)</f>
        <v>18.700000000000003</v>
      </c>
    </row>
    <row r="5" spans="1:19" x14ac:dyDescent="0.2">
      <c r="A5" s="70">
        <v>2</v>
      </c>
      <c r="B5" s="99">
        <f>SSQ_Intermediate!B5+SSQ_Intermediate!G5+SSQ_Intermediate!H5+SSQ_Intermediate!I5+SSQ_Intermediate!J5+SSQ_Intermediate!P5+SSQ_Intermediate!Q5</f>
        <v>0</v>
      </c>
      <c r="C5" s="100">
        <f>IF(AND(SSQ_Intermediate!R5="",SSQ_Intermediate!W5="",SSQ_Intermediate!X5="",SSQ_Intermediate!Y5="",SSQ_Intermediate!Z5="",SSQ_Intermediate!AF5="",SSQ_Intermediate!AG5=""),"",SUM(SSQ_Intermediate!R5,SSQ_Intermediate!W5,SSQ_Intermediate!X5,SSQ_Intermediate!Y5,SSQ_Intermediate!Z5,SSQ_Intermediate!AF5,SSQ_Intermediate!AG5))</f>
        <v>5</v>
      </c>
      <c r="D5" s="100">
        <f>B5*'SSQ Metadata'!$B$12</f>
        <v>0</v>
      </c>
      <c r="E5" s="22">
        <f>IF(C5="","",C5*'SSQ Metadata'!$B$12)</f>
        <v>47.699999999999996</v>
      </c>
      <c r="F5" s="20">
        <f>SSQ_Intermediate!B5+SSQ_Intermediate!C5+SSQ_Intermediate!D5+SSQ_Intermediate!E5+SSQ_Intermediate!F5+SSQ_Intermediate!J5+SSQ_Intermediate!L5</f>
        <v>1</v>
      </c>
      <c r="G5" s="101">
        <f>IF(AND(SSQ_Intermediate!R5="",SSQ_Intermediate!S5="",SSQ_Intermediate!T5="",SSQ_Intermediate!U5="",SSQ_Intermediate!V5="",SSQ_Intermediate!Z5="",SSQ_Intermediate!AB5=""),"",SUM(SSQ_Intermediate!R5,SSQ_Intermediate!S5,SSQ_Intermediate!T5,SSQ_Intermediate!U5,SSQ_Intermediate!V5,SSQ_Intermediate!Z5,SSQ_Intermediate!AB5))</f>
        <v>16</v>
      </c>
      <c r="H5" s="101">
        <f>F5*'SSQ Metadata'!$B$13</f>
        <v>7.58</v>
      </c>
      <c r="I5" s="21">
        <f>IF(G5="","",G5*'SSQ Metadata'!$B$13)</f>
        <v>121.28</v>
      </c>
      <c r="J5" s="18">
        <f>SSQ_Intermediate!F5+SSQ_Intermediate!I5+SSQ_Intermediate!K5+SSQ_Intermediate!L5+SSQ_Intermediate!M5+SSQ_Intermediate!N5+SSQ_Intermediate!O5</f>
        <v>0</v>
      </c>
      <c r="K5" s="102">
        <f>IF(AND(SSQ_Intermediate!V5="",SSQ_Intermediate!Y5="",SSQ_Intermediate!AA5="",SSQ_Intermediate!AB5="",SSQ_Intermediate!AC5="",SSQ_Intermediate!AD5="",SSQ_Intermediate!AE5=""),"",SUM(SSQ_Intermediate!V5,SSQ_Intermediate!Y5,SSQ_Intermediate!AA5,SSQ_Intermediate!AB5,SSQ_Intermediate!AC5,SSQ_Intermediate!AD5,SSQ_Intermediate!AE5))</f>
        <v>11</v>
      </c>
      <c r="L5" s="102">
        <f>J5*'SSQ Metadata'!$B$14</f>
        <v>0</v>
      </c>
      <c r="M5" s="19">
        <f>IF(K5="","",K5*'SSQ Metadata'!$B$14)</f>
        <v>153.12</v>
      </c>
      <c r="N5" s="16">
        <f>(B5+F5+J5)*'SSQ Metadata'!$B$15</f>
        <v>3.74</v>
      </c>
      <c r="O5" s="17">
        <f>IF(AND(C5="",G5="",K5=""),"",(C5+G5+K5)*'SSQ Metadata'!$B$15)</f>
        <v>119.68</v>
      </c>
      <c r="P5" s="15">
        <f t="shared" ref="P5:P68" si="0">IF(E5="","",E5-D5)</f>
        <v>47.699999999999996</v>
      </c>
      <c r="Q5" s="103">
        <f t="shared" ref="Q5:Q68" si="1">IF(I5="","",I5-H5)</f>
        <v>113.7</v>
      </c>
      <c r="R5" s="103">
        <f t="shared" ref="R5:R68" si="2">IF(M5="","",M5-L5)</f>
        <v>153.12</v>
      </c>
      <c r="S5" s="104">
        <f t="shared" ref="S5:S68" si="3">IF(O5="","",O5-N5)</f>
        <v>115.94000000000001</v>
      </c>
    </row>
    <row r="6" spans="1:19" x14ac:dyDescent="0.2">
      <c r="A6" s="70">
        <v>3</v>
      </c>
      <c r="B6" s="99">
        <f>SSQ_Intermediate!B6+SSQ_Intermediate!G6+SSQ_Intermediate!H6+SSQ_Intermediate!I6+SSQ_Intermediate!J6+SSQ_Intermediate!P6+SSQ_Intermediate!Q6</f>
        <v>0</v>
      </c>
      <c r="C6" s="100">
        <f>IF(AND(SSQ_Intermediate!R6="",SSQ_Intermediate!W6="",SSQ_Intermediate!X6="",SSQ_Intermediate!Y6="",SSQ_Intermediate!Z6="",SSQ_Intermediate!AF6="",SSQ_Intermediate!AG6=""),"",SUM(SSQ_Intermediate!R6,SSQ_Intermediate!W6,SSQ_Intermediate!X6,SSQ_Intermediate!Y6,SSQ_Intermediate!Z6,SSQ_Intermediate!AF6,SSQ_Intermediate!AG6))</f>
        <v>1</v>
      </c>
      <c r="D6" s="100">
        <f>B6*'SSQ Metadata'!$B$12</f>
        <v>0</v>
      </c>
      <c r="E6" s="22">
        <f>IF(C6="","",C6*'SSQ Metadata'!$B$12)</f>
        <v>9.5399999999999991</v>
      </c>
      <c r="F6" s="20">
        <f>SSQ_Intermediate!B6+SSQ_Intermediate!C6+SSQ_Intermediate!D6+SSQ_Intermediate!E6+SSQ_Intermediate!F6+SSQ_Intermediate!J6+SSQ_Intermediate!L6</f>
        <v>1</v>
      </c>
      <c r="G6" s="101">
        <f>IF(AND(SSQ_Intermediate!R6="",SSQ_Intermediate!S6="",SSQ_Intermediate!T6="",SSQ_Intermediate!U6="",SSQ_Intermediate!V6="",SSQ_Intermediate!Z6="",SSQ_Intermediate!AB6=""),"",SUM(SSQ_Intermediate!R6,SSQ_Intermediate!S6,SSQ_Intermediate!T6,SSQ_Intermediate!U6,SSQ_Intermediate!V6,SSQ_Intermediate!Z6,SSQ_Intermediate!AB6))</f>
        <v>3</v>
      </c>
      <c r="H6" s="101">
        <f>F6*'SSQ Metadata'!$B$13</f>
        <v>7.58</v>
      </c>
      <c r="I6" s="21">
        <f>IF(G6="","",G6*'SSQ Metadata'!$B$13)</f>
        <v>22.740000000000002</v>
      </c>
      <c r="J6" s="18">
        <f>SSQ_Intermediate!F6+SSQ_Intermediate!I6+SSQ_Intermediate!K6+SSQ_Intermediate!L6+SSQ_Intermediate!M6+SSQ_Intermediate!N6+SSQ_Intermediate!O6</f>
        <v>0</v>
      </c>
      <c r="K6" s="102">
        <f>IF(AND(SSQ_Intermediate!V6="",SSQ_Intermediate!Y6="",SSQ_Intermediate!AA6="",SSQ_Intermediate!AB6="",SSQ_Intermediate!AC6="",SSQ_Intermediate!AD6="",SSQ_Intermediate!AE6=""),"",SUM(SSQ_Intermediate!V6,SSQ_Intermediate!Y6,SSQ_Intermediate!AA6,SSQ_Intermediate!AB6,SSQ_Intermediate!AC6,SSQ_Intermediate!AD6,SSQ_Intermediate!AE6))</f>
        <v>1</v>
      </c>
      <c r="L6" s="102">
        <f>J6*'SSQ Metadata'!$B$14</f>
        <v>0</v>
      </c>
      <c r="M6" s="19">
        <f>IF(K6="","",K6*'SSQ Metadata'!$B$14)</f>
        <v>13.92</v>
      </c>
      <c r="N6" s="16">
        <f>(B6+F6+J6)*'SSQ Metadata'!$B$15</f>
        <v>3.74</v>
      </c>
      <c r="O6" s="17">
        <f>IF(AND(C6="",G6="",K6=""),"",(C6+G6+K6)*'SSQ Metadata'!$B$15)</f>
        <v>18.700000000000003</v>
      </c>
      <c r="P6" s="15">
        <f t="shared" si="0"/>
        <v>9.5399999999999991</v>
      </c>
      <c r="Q6" s="103">
        <f t="shared" si="1"/>
        <v>15.160000000000002</v>
      </c>
      <c r="R6" s="103">
        <f t="shared" si="2"/>
        <v>13.92</v>
      </c>
      <c r="S6" s="104">
        <f t="shared" si="3"/>
        <v>14.960000000000003</v>
      </c>
    </row>
    <row r="7" spans="1:19" x14ac:dyDescent="0.2">
      <c r="A7" s="70">
        <v>4</v>
      </c>
      <c r="B7" s="99">
        <f>SSQ_Intermediate!B7+SSQ_Intermediate!G7+SSQ_Intermediate!H7+SSQ_Intermediate!I7+SSQ_Intermediate!J7+SSQ_Intermediate!P7+SSQ_Intermediate!Q7</f>
        <v>0</v>
      </c>
      <c r="C7" s="100">
        <f>IF(AND(SSQ_Intermediate!R7="",SSQ_Intermediate!W7="",SSQ_Intermediate!X7="",SSQ_Intermediate!Y7="",SSQ_Intermediate!Z7="",SSQ_Intermediate!AF7="",SSQ_Intermediate!AG7=""),"",SUM(SSQ_Intermediate!R7,SSQ_Intermediate!W7,SSQ_Intermediate!X7,SSQ_Intermediate!Y7,SSQ_Intermediate!Z7,SSQ_Intermediate!AF7,SSQ_Intermediate!AG7))</f>
        <v>4</v>
      </c>
      <c r="D7" s="100">
        <f>B7*'SSQ Metadata'!$B$12</f>
        <v>0</v>
      </c>
      <c r="E7" s="22">
        <f>IF(C7="","",C7*'SSQ Metadata'!$B$12)</f>
        <v>38.159999999999997</v>
      </c>
      <c r="F7" s="20">
        <f>SSQ_Intermediate!B7+SSQ_Intermediate!C7+SSQ_Intermediate!D7+SSQ_Intermediate!E7+SSQ_Intermediate!F7+SSQ_Intermediate!J7+SSQ_Intermediate!L7</f>
        <v>0</v>
      </c>
      <c r="G7" s="101">
        <f>IF(AND(SSQ_Intermediate!R7="",SSQ_Intermediate!S7="",SSQ_Intermediate!T7="",SSQ_Intermediate!U7="",SSQ_Intermediate!V7="",SSQ_Intermediate!Z7="",SSQ_Intermediate!AB7=""),"",SUM(SSQ_Intermediate!R7,SSQ_Intermediate!S7,SSQ_Intermediate!T7,SSQ_Intermediate!U7,SSQ_Intermediate!V7,SSQ_Intermediate!Z7,SSQ_Intermediate!AB7))</f>
        <v>3</v>
      </c>
      <c r="H7" s="101">
        <f>F7*'SSQ Metadata'!$B$13</f>
        <v>0</v>
      </c>
      <c r="I7" s="21">
        <f>IF(G7="","",G7*'SSQ Metadata'!$B$13)</f>
        <v>22.740000000000002</v>
      </c>
      <c r="J7" s="18">
        <f>SSQ_Intermediate!F7+SSQ_Intermediate!I7+SSQ_Intermediate!K7+SSQ_Intermediate!L7+SSQ_Intermediate!M7+SSQ_Intermediate!N7+SSQ_Intermediate!O7</f>
        <v>0</v>
      </c>
      <c r="K7" s="102">
        <f>IF(AND(SSQ_Intermediate!V7="",SSQ_Intermediate!Y7="",SSQ_Intermediate!AA7="",SSQ_Intermediate!AB7="",SSQ_Intermediate!AC7="",SSQ_Intermediate!AD7="",SSQ_Intermediate!AE7=""),"",SUM(SSQ_Intermediate!V7,SSQ_Intermediate!Y7,SSQ_Intermediate!AA7,SSQ_Intermediate!AB7,SSQ_Intermediate!AC7,SSQ_Intermediate!AD7,SSQ_Intermediate!AE7))</f>
        <v>3</v>
      </c>
      <c r="L7" s="102">
        <f>J7*'SSQ Metadata'!$B$14</f>
        <v>0</v>
      </c>
      <c r="M7" s="19">
        <f>IF(K7="","",K7*'SSQ Metadata'!$B$14)</f>
        <v>41.76</v>
      </c>
      <c r="N7" s="16">
        <f>(B7+F7+J7)*'SSQ Metadata'!$B$15</f>
        <v>0</v>
      </c>
      <c r="O7" s="17">
        <f>IF(AND(C7="",G7="",K7=""),"",(C7+G7+K7)*'SSQ Metadata'!$B$15)</f>
        <v>37.400000000000006</v>
      </c>
      <c r="P7" s="15">
        <f t="shared" si="0"/>
        <v>38.159999999999997</v>
      </c>
      <c r="Q7" s="103">
        <f t="shared" si="1"/>
        <v>22.740000000000002</v>
      </c>
      <c r="R7" s="103">
        <f t="shared" si="2"/>
        <v>41.76</v>
      </c>
      <c r="S7" s="104">
        <f t="shared" si="3"/>
        <v>37.400000000000006</v>
      </c>
    </row>
    <row r="8" spans="1:19" x14ac:dyDescent="0.2">
      <c r="A8" s="70">
        <v>5</v>
      </c>
      <c r="B8" s="99">
        <f>SSQ_Intermediate!B8+SSQ_Intermediate!G8+SSQ_Intermediate!H8+SSQ_Intermediate!I8+SSQ_Intermediate!J8+SSQ_Intermediate!P8+SSQ_Intermediate!Q8</f>
        <v>2</v>
      </c>
      <c r="C8" s="100">
        <f>IF(AND(SSQ_Intermediate!R8="",SSQ_Intermediate!W8="",SSQ_Intermediate!X8="",SSQ_Intermediate!Y8="",SSQ_Intermediate!Z8="",SSQ_Intermediate!AF8="",SSQ_Intermediate!AG8=""),"",SUM(SSQ_Intermediate!R8,SSQ_Intermediate!W8,SSQ_Intermediate!X8,SSQ_Intermediate!Y8,SSQ_Intermediate!Z8,SSQ_Intermediate!AF8,SSQ_Intermediate!AG8))</f>
        <v>1</v>
      </c>
      <c r="D8" s="100">
        <f>B8*'SSQ Metadata'!$B$12</f>
        <v>19.079999999999998</v>
      </c>
      <c r="E8" s="22">
        <f>IF(C8="","",C8*'SSQ Metadata'!$B$12)</f>
        <v>9.5399999999999991</v>
      </c>
      <c r="F8" s="20">
        <f>SSQ_Intermediate!B8+SSQ_Intermediate!C8+SSQ_Intermediate!D8+SSQ_Intermediate!E8+SSQ_Intermediate!F8+SSQ_Intermediate!J8+SSQ_Intermediate!L8</f>
        <v>5</v>
      </c>
      <c r="G8" s="101">
        <f>IF(AND(SSQ_Intermediate!R8="",SSQ_Intermediate!S8="",SSQ_Intermediate!T8="",SSQ_Intermediate!U8="",SSQ_Intermediate!V8="",SSQ_Intermediate!Z8="",SSQ_Intermediate!AB8=""),"",SUM(SSQ_Intermediate!R8,SSQ_Intermediate!S8,SSQ_Intermediate!T8,SSQ_Intermediate!U8,SSQ_Intermediate!V8,SSQ_Intermediate!Z8,SSQ_Intermediate!AB8))</f>
        <v>3</v>
      </c>
      <c r="H8" s="101">
        <f>F8*'SSQ Metadata'!$B$13</f>
        <v>37.9</v>
      </c>
      <c r="I8" s="21">
        <f>IF(G8="","",G8*'SSQ Metadata'!$B$13)</f>
        <v>22.740000000000002</v>
      </c>
      <c r="J8" s="18">
        <f>SSQ_Intermediate!F8+SSQ_Intermediate!I8+SSQ_Intermediate!K8+SSQ_Intermediate!L8+SSQ_Intermediate!M8+SSQ_Intermediate!N8+SSQ_Intermediate!O8</f>
        <v>0</v>
      </c>
      <c r="K8" s="102">
        <f>IF(AND(SSQ_Intermediate!V8="",SSQ_Intermediate!Y8="",SSQ_Intermediate!AA8="",SSQ_Intermediate!AB8="",SSQ_Intermediate!AC8="",SSQ_Intermediate!AD8="",SSQ_Intermediate!AE8=""),"",SUM(SSQ_Intermediate!V8,SSQ_Intermediate!Y8,SSQ_Intermediate!AA8,SSQ_Intermediate!AB8,SSQ_Intermediate!AC8,SSQ_Intermediate!AD8,SSQ_Intermediate!AE8))</f>
        <v>2</v>
      </c>
      <c r="L8" s="102">
        <f>J8*'SSQ Metadata'!$B$14</f>
        <v>0</v>
      </c>
      <c r="M8" s="19">
        <f>IF(K8="","",K8*'SSQ Metadata'!$B$14)</f>
        <v>27.84</v>
      </c>
      <c r="N8" s="16">
        <f>(B8+F8+J8)*'SSQ Metadata'!$B$15</f>
        <v>26.18</v>
      </c>
      <c r="O8" s="17">
        <f>IF(AND(C8="",G8="",K8=""),"",(C8+G8+K8)*'SSQ Metadata'!$B$15)</f>
        <v>22.44</v>
      </c>
      <c r="P8" s="15">
        <f t="shared" si="0"/>
        <v>-9.5399999999999991</v>
      </c>
      <c r="Q8" s="103">
        <f t="shared" si="1"/>
        <v>-15.159999999999997</v>
      </c>
      <c r="R8" s="103">
        <f t="shared" si="2"/>
        <v>27.84</v>
      </c>
      <c r="S8" s="104">
        <f t="shared" si="3"/>
        <v>-3.7399999999999984</v>
      </c>
    </row>
    <row r="9" spans="1:19" x14ac:dyDescent="0.2">
      <c r="A9" s="70">
        <v>6</v>
      </c>
      <c r="B9" s="99">
        <f>SSQ_Intermediate!B9+SSQ_Intermediate!G9+SSQ_Intermediate!H9+SSQ_Intermediate!I9+SSQ_Intermediate!J9+SSQ_Intermediate!P9+SSQ_Intermediate!Q9</f>
        <v>4</v>
      </c>
      <c r="C9" s="100">
        <f>IF(AND(SSQ_Intermediate!R9="",SSQ_Intermediate!W9="",SSQ_Intermediate!X9="",SSQ_Intermediate!Y9="",SSQ_Intermediate!Z9="",SSQ_Intermediate!AF9="",SSQ_Intermediate!AG9=""),"",SUM(SSQ_Intermediate!R9,SSQ_Intermediate!W9,SSQ_Intermediate!X9,SSQ_Intermediate!Y9,SSQ_Intermediate!Z9,SSQ_Intermediate!AF9,SSQ_Intermediate!AG9))</f>
        <v>2</v>
      </c>
      <c r="D9" s="100">
        <f>B9*'SSQ Metadata'!$B$12</f>
        <v>38.159999999999997</v>
      </c>
      <c r="E9" s="22">
        <f>IF(C9="","",C9*'SSQ Metadata'!$B$12)</f>
        <v>19.079999999999998</v>
      </c>
      <c r="F9" s="20">
        <f>SSQ_Intermediate!B9+SSQ_Intermediate!C9+SSQ_Intermediate!D9+SSQ_Intermediate!E9+SSQ_Intermediate!F9+SSQ_Intermediate!J9+SSQ_Intermediate!L9</f>
        <v>8</v>
      </c>
      <c r="G9" s="101">
        <f>IF(AND(SSQ_Intermediate!R9="",SSQ_Intermediate!S9="",SSQ_Intermediate!T9="",SSQ_Intermediate!U9="",SSQ_Intermediate!V9="",SSQ_Intermediate!Z9="",SSQ_Intermediate!AB9=""),"",SUM(SSQ_Intermediate!R9,SSQ_Intermediate!S9,SSQ_Intermediate!T9,SSQ_Intermediate!U9,SSQ_Intermediate!V9,SSQ_Intermediate!Z9,SSQ_Intermediate!AB9))</f>
        <v>11</v>
      </c>
      <c r="H9" s="101">
        <f>F9*'SSQ Metadata'!$B$13</f>
        <v>60.64</v>
      </c>
      <c r="I9" s="21">
        <f>IF(G9="","",G9*'SSQ Metadata'!$B$13)</f>
        <v>83.38</v>
      </c>
      <c r="J9" s="18">
        <f>SSQ_Intermediate!F9+SSQ_Intermediate!I9+SSQ_Intermediate!K9+SSQ_Intermediate!L9+SSQ_Intermediate!M9+SSQ_Intermediate!N9+SSQ_Intermediate!O9</f>
        <v>4</v>
      </c>
      <c r="K9" s="102">
        <f>IF(AND(SSQ_Intermediate!V9="",SSQ_Intermediate!Y9="",SSQ_Intermediate!AA9="",SSQ_Intermediate!AB9="",SSQ_Intermediate!AC9="",SSQ_Intermediate!AD9="",SSQ_Intermediate!AE9=""),"",SUM(SSQ_Intermediate!V9,SSQ_Intermediate!Y9,SSQ_Intermediate!AA9,SSQ_Intermediate!AB9,SSQ_Intermediate!AC9,SSQ_Intermediate!AD9,SSQ_Intermediate!AE9))</f>
        <v>7</v>
      </c>
      <c r="L9" s="102">
        <f>J9*'SSQ Metadata'!$B$14</f>
        <v>55.68</v>
      </c>
      <c r="M9" s="19">
        <f>IF(K9="","",K9*'SSQ Metadata'!$B$14)</f>
        <v>97.44</v>
      </c>
      <c r="N9" s="16">
        <f>(B9+F9+J9)*'SSQ Metadata'!$B$15</f>
        <v>59.84</v>
      </c>
      <c r="O9" s="17">
        <f>IF(AND(C9="",G9="",K9=""),"",(C9+G9+K9)*'SSQ Metadata'!$B$15)</f>
        <v>74.800000000000011</v>
      </c>
      <c r="P9" s="15">
        <f t="shared" si="0"/>
        <v>-19.079999999999998</v>
      </c>
      <c r="Q9" s="103">
        <f t="shared" si="1"/>
        <v>22.739999999999995</v>
      </c>
      <c r="R9" s="103">
        <f t="shared" si="2"/>
        <v>41.76</v>
      </c>
      <c r="S9" s="104">
        <f t="shared" si="3"/>
        <v>14.960000000000008</v>
      </c>
    </row>
    <row r="10" spans="1:19" x14ac:dyDescent="0.2">
      <c r="A10" s="70">
        <v>7</v>
      </c>
      <c r="B10" s="99">
        <f>SSQ_Intermediate!B10+SSQ_Intermediate!G10+SSQ_Intermediate!H10+SSQ_Intermediate!I10+SSQ_Intermediate!J10+SSQ_Intermediate!P10+SSQ_Intermediate!Q10</f>
        <v>0</v>
      </c>
      <c r="C10" s="100">
        <f>IF(AND(SSQ_Intermediate!R10="",SSQ_Intermediate!W10="",SSQ_Intermediate!X10="",SSQ_Intermediate!Y10="",SSQ_Intermediate!Z10="",SSQ_Intermediate!AF10="",SSQ_Intermediate!AG10=""),"",SUM(SSQ_Intermediate!R10,SSQ_Intermediate!W10,SSQ_Intermediate!X10,SSQ_Intermediate!Y10,SSQ_Intermediate!Z10,SSQ_Intermediate!AF10,SSQ_Intermediate!AG10))</f>
        <v>1</v>
      </c>
      <c r="D10" s="100">
        <f>B10*'SSQ Metadata'!$B$12</f>
        <v>0</v>
      </c>
      <c r="E10" s="22">
        <f>IF(C10="","",C10*'SSQ Metadata'!$B$12)</f>
        <v>9.5399999999999991</v>
      </c>
      <c r="F10" s="20">
        <f>SSQ_Intermediate!B10+SSQ_Intermediate!C10+SSQ_Intermediate!D10+SSQ_Intermediate!E10+SSQ_Intermediate!F10+SSQ_Intermediate!J10+SSQ_Intermediate!L10</f>
        <v>4</v>
      </c>
      <c r="G10" s="101">
        <f>IF(AND(SSQ_Intermediate!R10="",SSQ_Intermediate!S10="",SSQ_Intermediate!T10="",SSQ_Intermediate!U10="",SSQ_Intermediate!V10="",SSQ_Intermediate!Z10="",SSQ_Intermediate!AB10=""),"",SUM(SSQ_Intermediate!R10,SSQ_Intermediate!S10,SSQ_Intermediate!T10,SSQ_Intermediate!U10,SSQ_Intermediate!V10,SSQ_Intermediate!Z10,SSQ_Intermediate!AB10))</f>
        <v>7</v>
      </c>
      <c r="H10" s="101">
        <f>F10*'SSQ Metadata'!$B$13</f>
        <v>30.32</v>
      </c>
      <c r="I10" s="21">
        <f>IF(G10="","",G10*'SSQ Metadata'!$B$13)</f>
        <v>53.06</v>
      </c>
      <c r="J10" s="18">
        <f>SSQ_Intermediate!F10+SSQ_Intermediate!I10+SSQ_Intermediate!K10+SSQ_Intermediate!L10+SSQ_Intermediate!M10+SSQ_Intermediate!N10+SSQ_Intermediate!O10</f>
        <v>1</v>
      </c>
      <c r="K10" s="102">
        <f>IF(AND(SSQ_Intermediate!V10="",SSQ_Intermediate!Y10="",SSQ_Intermediate!AA10="",SSQ_Intermediate!AB10="",SSQ_Intermediate!AC10="",SSQ_Intermediate!AD10="",SSQ_Intermediate!AE10=""),"",SUM(SSQ_Intermediate!V10,SSQ_Intermediate!Y10,SSQ_Intermediate!AA10,SSQ_Intermediate!AB10,SSQ_Intermediate!AC10,SSQ_Intermediate!AD10,SSQ_Intermediate!AE10))</f>
        <v>5</v>
      </c>
      <c r="L10" s="102">
        <f>J10*'SSQ Metadata'!$B$14</f>
        <v>13.92</v>
      </c>
      <c r="M10" s="19">
        <f>IF(K10="","",K10*'SSQ Metadata'!$B$14)</f>
        <v>69.599999999999994</v>
      </c>
      <c r="N10" s="16">
        <f>(B10+F10+J10)*'SSQ Metadata'!$B$15</f>
        <v>18.700000000000003</v>
      </c>
      <c r="O10" s="17">
        <f>IF(AND(C10="",G10="",K10=""),"",(C10+G10+K10)*'SSQ Metadata'!$B$15)</f>
        <v>48.620000000000005</v>
      </c>
      <c r="P10" s="15">
        <f t="shared" si="0"/>
        <v>9.5399999999999991</v>
      </c>
      <c r="Q10" s="103">
        <f t="shared" si="1"/>
        <v>22.740000000000002</v>
      </c>
      <c r="R10" s="103">
        <f t="shared" si="2"/>
        <v>55.679999999999993</v>
      </c>
      <c r="S10" s="104">
        <f t="shared" si="3"/>
        <v>29.92</v>
      </c>
    </row>
    <row r="11" spans="1:19" x14ac:dyDescent="0.2">
      <c r="A11" s="70">
        <v>8</v>
      </c>
      <c r="B11" s="99">
        <f>SSQ_Intermediate!B11+SSQ_Intermediate!G11+SSQ_Intermediate!H11+SSQ_Intermediate!I11+SSQ_Intermediate!J11+SSQ_Intermediate!P11+SSQ_Intermediate!Q11</f>
        <v>0</v>
      </c>
      <c r="C11" s="100">
        <f>IF(AND(SSQ_Intermediate!R11="",SSQ_Intermediate!W11="",SSQ_Intermediate!X11="",SSQ_Intermediate!Y11="",SSQ_Intermediate!Z11="",SSQ_Intermediate!AF11="",SSQ_Intermediate!AG11=""),"",SUM(SSQ_Intermediate!R11,SSQ_Intermediate!W11,SSQ_Intermediate!X11,SSQ_Intermediate!Y11,SSQ_Intermediate!Z11,SSQ_Intermediate!AF11,SSQ_Intermediate!AG11))</f>
        <v>1</v>
      </c>
      <c r="D11" s="100">
        <f>B11*'SSQ Metadata'!$B$12</f>
        <v>0</v>
      </c>
      <c r="E11" s="22">
        <f>IF(C11="","",C11*'SSQ Metadata'!$B$12)</f>
        <v>9.5399999999999991</v>
      </c>
      <c r="F11" s="20">
        <f>SSQ_Intermediate!B11+SSQ_Intermediate!C11+SSQ_Intermediate!D11+SSQ_Intermediate!E11+SSQ_Intermediate!F11+SSQ_Intermediate!J11+SSQ_Intermediate!L11</f>
        <v>0</v>
      </c>
      <c r="G11" s="101">
        <f>IF(AND(SSQ_Intermediate!R11="",SSQ_Intermediate!S11="",SSQ_Intermediate!T11="",SSQ_Intermediate!U11="",SSQ_Intermediate!V11="",SSQ_Intermediate!Z11="",SSQ_Intermediate!AB11=""),"",SUM(SSQ_Intermediate!R11,SSQ_Intermediate!S11,SSQ_Intermediate!T11,SSQ_Intermediate!U11,SSQ_Intermediate!V11,SSQ_Intermediate!Z11,SSQ_Intermediate!AB11))</f>
        <v>3</v>
      </c>
      <c r="H11" s="101">
        <f>F11*'SSQ Metadata'!$B$13</f>
        <v>0</v>
      </c>
      <c r="I11" s="21">
        <f>IF(G11="","",G11*'SSQ Metadata'!$B$13)</f>
        <v>22.740000000000002</v>
      </c>
      <c r="J11" s="18">
        <f>SSQ_Intermediate!F11+SSQ_Intermediate!I11+SSQ_Intermediate!K11+SSQ_Intermediate!L11+SSQ_Intermediate!M11+SSQ_Intermediate!N11+SSQ_Intermediate!O11</f>
        <v>0</v>
      </c>
      <c r="K11" s="102">
        <f>IF(AND(SSQ_Intermediate!V11="",SSQ_Intermediate!Y11="",SSQ_Intermediate!AA11="",SSQ_Intermediate!AB11="",SSQ_Intermediate!AC11="",SSQ_Intermediate!AD11="",SSQ_Intermediate!AE11=""),"",SUM(SSQ_Intermediate!V11,SSQ_Intermediate!Y11,SSQ_Intermediate!AA11,SSQ_Intermediate!AB11,SSQ_Intermediate!AC11,SSQ_Intermediate!AD11,SSQ_Intermediate!AE11))</f>
        <v>1</v>
      </c>
      <c r="L11" s="102">
        <f>J11*'SSQ Metadata'!$B$14</f>
        <v>0</v>
      </c>
      <c r="M11" s="19">
        <f>IF(K11="","",K11*'SSQ Metadata'!$B$14)</f>
        <v>13.92</v>
      </c>
      <c r="N11" s="16">
        <f>(B11+F11+J11)*'SSQ Metadata'!$B$15</f>
        <v>0</v>
      </c>
      <c r="O11" s="17">
        <f>IF(AND(C11="",G11="",K11=""),"",(C11+G11+K11)*'SSQ Metadata'!$B$15)</f>
        <v>18.700000000000003</v>
      </c>
      <c r="P11" s="15">
        <f t="shared" si="0"/>
        <v>9.5399999999999991</v>
      </c>
      <c r="Q11" s="103">
        <f t="shared" si="1"/>
        <v>22.740000000000002</v>
      </c>
      <c r="R11" s="103">
        <f t="shared" si="2"/>
        <v>13.92</v>
      </c>
      <c r="S11" s="104">
        <f t="shared" si="3"/>
        <v>18.700000000000003</v>
      </c>
    </row>
    <row r="12" spans="1:19" x14ac:dyDescent="0.2">
      <c r="A12" s="70">
        <v>9</v>
      </c>
      <c r="B12" s="99">
        <f>SSQ_Intermediate!B12+SSQ_Intermediate!G12+SSQ_Intermediate!H12+SSQ_Intermediate!I12+SSQ_Intermediate!J12+SSQ_Intermediate!P12+SSQ_Intermediate!Q12</f>
        <v>0</v>
      </c>
      <c r="C12" s="100">
        <f>IF(AND(SSQ_Intermediate!R12="",SSQ_Intermediate!W12="",SSQ_Intermediate!X12="",SSQ_Intermediate!Y12="",SSQ_Intermediate!Z12="",SSQ_Intermediate!AF12="",SSQ_Intermediate!AG12=""),"",SUM(SSQ_Intermediate!R12,SSQ_Intermediate!W12,SSQ_Intermediate!X12,SSQ_Intermediate!Y12,SSQ_Intermediate!Z12,SSQ_Intermediate!AF12,SSQ_Intermediate!AG12))</f>
        <v>6</v>
      </c>
      <c r="D12" s="100">
        <f>B12*'SSQ Metadata'!$B$12</f>
        <v>0</v>
      </c>
      <c r="E12" s="22">
        <f>IF(C12="","",C12*'SSQ Metadata'!$B$12)</f>
        <v>57.239999999999995</v>
      </c>
      <c r="F12" s="20">
        <f>SSQ_Intermediate!B12+SSQ_Intermediate!C12+SSQ_Intermediate!D12+SSQ_Intermediate!E12+SSQ_Intermediate!F12+SSQ_Intermediate!J12+SSQ_Intermediate!L12</f>
        <v>0</v>
      </c>
      <c r="G12" s="101">
        <f>IF(AND(SSQ_Intermediate!R12="",SSQ_Intermediate!S12="",SSQ_Intermediate!T12="",SSQ_Intermediate!U12="",SSQ_Intermediate!V12="",SSQ_Intermediate!Z12="",SSQ_Intermediate!AB12=""),"",SUM(SSQ_Intermediate!R12,SSQ_Intermediate!S12,SSQ_Intermediate!T12,SSQ_Intermediate!U12,SSQ_Intermediate!V12,SSQ_Intermediate!Z12,SSQ_Intermediate!AB12))</f>
        <v>18</v>
      </c>
      <c r="H12" s="101">
        <f>F12*'SSQ Metadata'!$B$13</f>
        <v>0</v>
      </c>
      <c r="I12" s="21">
        <f>IF(G12="","",G12*'SSQ Metadata'!$B$13)</f>
        <v>136.44</v>
      </c>
      <c r="J12" s="18">
        <f>SSQ_Intermediate!F12+SSQ_Intermediate!I12+SSQ_Intermediate!K12+SSQ_Intermediate!L12+SSQ_Intermediate!M12+SSQ_Intermediate!N12+SSQ_Intermediate!O12</f>
        <v>0</v>
      </c>
      <c r="K12" s="102">
        <f>IF(AND(SSQ_Intermediate!V12="",SSQ_Intermediate!Y12="",SSQ_Intermediate!AA12="",SSQ_Intermediate!AB12="",SSQ_Intermediate!AC12="",SSQ_Intermediate!AD12="",SSQ_Intermediate!AE12=""),"",SUM(SSQ_Intermediate!V12,SSQ_Intermediate!Y12,SSQ_Intermediate!AA12,SSQ_Intermediate!AB12,SSQ_Intermediate!AC12,SSQ_Intermediate!AD12,SSQ_Intermediate!AE12))</f>
        <v>11</v>
      </c>
      <c r="L12" s="102">
        <f>J12*'SSQ Metadata'!$B$14</f>
        <v>0</v>
      </c>
      <c r="M12" s="19">
        <f>IF(K12="","",K12*'SSQ Metadata'!$B$14)</f>
        <v>153.12</v>
      </c>
      <c r="N12" s="16">
        <f>(B12+F12+J12)*'SSQ Metadata'!$B$15</f>
        <v>0</v>
      </c>
      <c r="O12" s="17">
        <f>IF(AND(C12="",G12="",K12=""),"",(C12+G12+K12)*'SSQ Metadata'!$B$15)</f>
        <v>130.9</v>
      </c>
      <c r="P12" s="15">
        <f t="shared" si="0"/>
        <v>57.239999999999995</v>
      </c>
      <c r="Q12" s="103">
        <f t="shared" si="1"/>
        <v>136.44</v>
      </c>
      <c r="R12" s="103">
        <f t="shared" si="2"/>
        <v>153.12</v>
      </c>
      <c r="S12" s="104">
        <f t="shared" si="3"/>
        <v>130.9</v>
      </c>
    </row>
    <row r="13" spans="1:19" x14ac:dyDescent="0.2">
      <c r="A13" s="70">
        <v>10</v>
      </c>
      <c r="B13" s="99">
        <f>SSQ_Intermediate!B13+SSQ_Intermediate!G13+SSQ_Intermediate!H13+SSQ_Intermediate!I13+SSQ_Intermediate!J13+SSQ_Intermediate!P13+SSQ_Intermediate!Q13</f>
        <v>0</v>
      </c>
      <c r="C13" s="100">
        <f>IF(AND(SSQ_Intermediate!R13="",SSQ_Intermediate!W13="",SSQ_Intermediate!X13="",SSQ_Intermediate!Y13="",SSQ_Intermediate!Z13="",SSQ_Intermediate!AF13="",SSQ_Intermediate!AG13=""),"",SUM(SSQ_Intermediate!R13,SSQ_Intermediate!W13,SSQ_Intermediate!X13,SSQ_Intermediate!Y13,SSQ_Intermediate!Z13,SSQ_Intermediate!AF13,SSQ_Intermediate!AG13))</f>
        <v>1</v>
      </c>
      <c r="D13" s="100">
        <f>B13*'SSQ Metadata'!$B$12</f>
        <v>0</v>
      </c>
      <c r="E13" s="22">
        <f>IF(C13="","",C13*'SSQ Metadata'!$B$12)</f>
        <v>9.5399999999999991</v>
      </c>
      <c r="F13" s="20">
        <f>SSQ_Intermediate!B13+SSQ_Intermediate!C13+SSQ_Intermediate!D13+SSQ_Intermediate!E13+SSQ_Intermediate!F13+SSQ_Intermediate!J13+SSQ_Intermediate!L13</f>
        <v>0</v>
      </c>
      <c r="G13" s="101">
        <f>IF(AND(SSQ_Intermediate!R13="",SSQ_Intermediate!S13="",SSQ_Intermediate!T13="",SSQ_Intermediate!U13="",SSQ_Intermediate!V13="",SSQ_Intermediate!Z13="",SSQ_Intermediate!AB13=""),"",SUM(SSQ_Intermediate!R13,SSQ_Intermediate!S13,SSQ_Intermediate!T13,SSQ_Intermediate!U13,SSQ_Intermediate!V13,SSQ_Intermediate!Z13,SSQ_Intermediate!AB13))</f>
        <v>1</v>
      </c>
      <c r="H13" s="101">
        <f>F13*'SSQ Metadata'!$B$13</f>
        <v>0</v>
      </c>
      <c r="I13" s="21">
        <f>IF(G13="","",G13*'SSQ Metadata'!$B$13)</f>
        <v>7.58</v>
      </c>
      <c r="J13" s="18">
        <f>SSQ_Intermediate!F13+SSQ_Intermediate!I13+SSQ_Intermediate!K13+SSQ_Intermediate!L13+SSQ_Intermediate!M13+SSQ_Intermediate!N13+SSQ_Intermediate!O13</f>
        <v>0</v>
      </c>
      <c r="K13" s="102">
        <f>IF(AND(SSQ_Intermediate!V13="",SSQ_Intermediate!Y13="",SSQ_Intermediate!AA13="",SSQ_Intermediate!AB13="",SSQ_Intermediate!AC13="",SSQ_Intermediate!AD13="",SSQ_Intermediate!AE13=""),"",SUM(SSQ_Intermediate!V13,SSQ_Intermediate!Y13,SSQ_Intermediate!AA13,SSQ_Intermediate!AB13,SSQ_Intermediate!AC13,SSQ_Intermediate!AD13,SSQ_Intermediate!AE13))</f>
        <v>1</v>
      </c>
      <c r="L13" s="102">
        <f>J13*'SSQ Metadata'!$B$14</f>
        <v>0</v>
      </c>
      <c r="M13" s="19">
        <f>IF(K13="","",K13*'SSQ Metadata'!$B$14)</f>
        <v>13.92</v>
      </c>
      <c r="N13" s="16">
        <f>(B13+F13+J13)*'SSQ Metadata'!$B$15</f>
        <v>0</v>
      </c>
      <c r="O13" s="17">
        <f>IF(AND(C13="",G13="",K13=""),"",(C13+G13+K13)*'SSQ Metadata'!$B$15)</f>
        <v>11.22</v>
      </c>
      <c r="P13" s="15">
        <f t="shared" si="0"/>
        <v>9.5399999999999991</v>
      </c>
      <c r="Q13" s="103">
        <f t="shared" si="1"/>
        <v>7.58</v>
      </c>
      <c r="R13" s="103">
        <f t="shared" si="2"/>
        <v>13.92</v>
      </c>
      <c r="S13" s="104">
        <f t="shared" si="3"/>
        <v>11.22</v>
      </c>
    </row>
    <row r="14" spans="1:19" x14ac:dyDescent="0.2">
      <c r="A14" s="70">
        <v>11</v>
      </c>
      <c r="B14" s="99">
        <f>SSQ_Intermediate!B14+SSQ_Intermediate!G14+SSQ_Intermediate!H14+SSQ_Intermediate!I14+SSQ_Intermediate!J14+SSQ_Intermediate!P14+SSQ_Intermediate!Q14</f>
        <v>4</v>
      </c>
      <c r="C14" s="100">
        <f>IF(AND(SSQ_Intermediate!R14="",SSQ_Intermediate!W14="",SSQ_Intermediate!X14="",SSQ_Intermediate!Y14="",SSQ_Intermediate!Z14="",SSQ_Intermediate!AF14="",SSQ_Intermediate!AG14=""),"",SUM(SSQ_Intermediate!R14,SSQ_Intermediate!W14,SSQ_Intermediate!X14,SSQ_Intermediate!Y14,SSQ_Intermediate!Z14,SSQ_Intermediate!AF14,SSQ_Intermediate!AG14))</f>
        <v>7</v>
      </c>
      <c r="D14" s="100">
        <f>B14*'SSQ Metadata'!$B$12</f>
        <v>38.159999999999997</v>
      </c>
      <c r="E14" s="22">
        <f>IF(C14="","",C14*'SSQ Metadata'!$B$12)</f>
        <v>66.78</v>
      </c>
      <c r="F14" s="20">
        <f>SSQ_Intermediate!B14+SSQ_Intermediate!C14+SSQ_Intermediate!D14+SSQ_Intermediate!E14+SSQ_Intermediate!F14+SSQ_Intermediate!J14+SSQ_Intermediate!L14</f>
        <v>4</v>
      </c>
      <c r="G14" s="101">
        <f>IF(AND(SSQ_Intermediate!R14="",SSQ_Intermediate!S14="",SSQ_Intermediate!T14="",SSQ_Intermediate!U14="",SSQ_Intermediate!V14="",SSQ_Intermediate!Z14="",SSQ_Intermediate!AB14=""),"",SUM(SSQ_Intermediate!R14,SSQ_Intermediate!S14,SSQ_Intermediate!T14,SSQ_Intermediate!U14,SSQ_Intermediate!V14,SSQ_Intermediate!Z14,SSQ_Intermediate!AB14))</f>
        <v>13</v>
      </c>
      <c r="H14" s="101">
        <f>F14*'SSQ Metadata'!$B$13</f>
        <v>30.32</v>
      </c>
      <c r="I14" s="21">
        <f>IF(G14="","",G14*'SSQ Metadata'!$B$13)</f>
        <v>98.54</v>
      </c>
      <c r="J14" s="18">
        <f>SSQ_Intermediate!F14+SSQ_Intermediate!I14+SSQ_Intermediate!K14+SSQ_Intermediate!L14+SSQ_Intermediate!M14+SSQ_Intermediate!N14+SSQ_Intermediate!O14</f>
        <v>0</v>
      </c>
      <c r="K14" s="102">
        <f>IF(AND(SSQ_Intermediate!V14="",SSQ_Intermediate!Y14="",SSQ_Intermediate!AA14="",SSQ_Intermediate!AB14="",SSQ_Intermediate!AC14="",SSQ_Intermediate!AD14="",SSQ_Intermediate!AE14=""),"",SUM(SSQ_Intermediate!V14,SSQ_Intermediate!Y14,SSQ_Intermediate!AA14,SSQ_Intermediate!AB14,SSQ_Intermediate!AC14,SSQ_Intermediate!AD14,SSQ_Intermediate!AE14))</f>
        <v>5</v>
      </c>
      <c r="L14" s="102">
        <f>J14*'SSQ Metadata'!$B$14</f>
        <v>0</v>
      </c>
      <c r="M14" s="19">
        <f>IF(K14="","",K14*'SSQ Metadata'!$B$14)</f>
        <v>69.599999999999994</v>
      </c>
      <c r="N14" s="16">
        <f>(B14+F14+J14)*'SSQ Metadata'!$B$15</f>
        <v>29.92</v>
      </c>
      <c r="O14" s="17">
        <f>IF(AND(C14="",G14="",K14=""),"",(C14+G14+K14)*'SSQ Metadata'!$B$15)</f>
        <v>93.5</v>
      </c>
      <c r="P14" s="15">
        <f t="shared" si="0"/>
        <v>28.620000000000005</v>
      </c>
      <c r="Q14" s="103">
        <f t="shared" si="1"/>
        <v>68.22</v>
      </c>
      <c r="R14" s="103">
        <f t="shared" si="2"/>
        <v>69.599999999999994</v>
      </c>
      <c r="S14" s="104">
        <f t="shared" si="3"/>
        <v>63.58</v>
      </c>
    </row>
    <row r="15" spans="1:19" x14ac:dyDescent="0.2">
      <c r="A15" s="70">
        <v>12</v>
      </c>
      <c r="B15" s="99">
        <f>SSQ_Intermediate!B15+SSQ_Intermediate!G15+SSQ_Intermediate!H15+SSQ_Intermediate!I15+SSQ_Intermediate!J15+SSQ_Intermediate!P15+SSQ_Intermediate!Q15</f>
        <v>2</v>
      </c>
      <c r="C15" s="100">
        <f>IF(AND(SSQ_Intermediate!R15="",SSQ_Intermediate!W15="",SSQ_Intermediate!X15="",SSQ_Intermediate!Y15="",SSQ_Intermediate!Z15="",SSQ_Intermediate!AF15="",SSQ_Intermediate!AG15=""),"",SUM(SSQ_Intermediate!R15,SSQ_Intermediate!W15,SSQ_Intermediate!X15,SSQ_Intermediate!Y15,SSQ_Intermediate!Z15,SSQ_Intermediate!AF15,SSQ_Intermediate!AG15))</f>
        <v>2</v>
      </c>
      <c r="D15" s="100">
        <f>B15*'SSQ Metadata'!$B$12</f>
        <v>19.079999999999998</v>
      </c>
      <c r="E15" s="22">
        <f>IF(C15="","",C15*'SSQ Metadata'!$B$12)</f>
        <v>19.079999999999998</v>
      </c>
      <c r="F15" s="20">
        <f>SSQ_Intermediate!B15+SSQ_Intermediate!C15+SSQ_Intermediate!D15+SSQ_Intermediate!E15+SSQ_Intermediate!F15+SSQ_Intermediate!J15+SSQ_Intermediate!L15</f>
        <v>1</v>
      </c>
      <c r="G15" s="101">
        <f>IF(AND(SSQ_Intermediate!R15="",SSQ_Intermediate!S15="",SSQ_Intermediate!T15="",SSQ_Intermediate!U15="",SSQ_Intermediate!V15="",SSQ_Intermediate!Z15="",SSQ_Intermediate!AB15=""),"",SUM(SSQ_Intermediate!R15,SSQ_Intermediate!S15,SSQ_Intermediate!T15,SSQ_Intermediate!U15,SSQ_Intermediate!V15,SSQ_Intermediate!Z15,SSQ_Intermediate!AB15))</f>
        <v>1</v>
      </c>
      <c r="H15" s="101">
        <f>F15*'SSQ Metadata'!$B$13</f>
        <v>7.58</v>
      </c>
      <c r="I15" s="21">
        <f>IF(G15="","",G15*'SSQ Metadata'!$B$13)</f>
        <v>7.58</v>
      </c>
      <c r="J15" s="18">
        <f>SSQ_Intermediate!F15+SSQ_Intermediate!I15+SSQ_Intermediate!K15+SSQ_Intermediate!L15+SSQ_Intermediate!M15+SSQ_Intermediate!N15+SSQ_Intermediate!O15</f>
        <v>1</v>
      </c>
      <c r="K15" s="102">
        <f>IF(AND(SSQ_Intermediate!V15="",SSQ_Intermediate!Y15="",SSQ_Intermediate!AA15="",SSQ_Intermediate!AB15="",SSQ_Intermediate!AC15="",SSQ_Intermediate!AD15="",SSQ_Intermediate!AE15=""),"",SUM(SSQ_Intermediate!V15,SSQ_Intermediate!Y15,SSQ_Intermediate!AA15,SSQ_Intermediate!AB15,SSQ_Intermediate!AC15,SSQ_Intermediate!AD15,SSQ_Intermediate!AE15))</f>
        <v>2</v>
      </c>
      <c r="L15" s="102">
        <f>J15*'SSQ Metadata'!$B$14</f>
        <v>13.92</v>
      </c>
      <c r="M15" s="19">
        <f>IF(K15="","",K15*'SSQ Metadata'!$B$14)</f>
        <v>27.84</v>
      </c>
      <c r="N15" s="16">
        <f>(B15+F15+J15)*'SSQ Metadata'!$B$15</f>
        <v>14.96</v>
      </c>
      <c r="O15" s="17">
        <f>IF(AND(C15="",G15="",K15=""),"",(C15+G15+K15)*'SSQ Metadata'!$B$15)</f>
        <v>18.700000000000003</v>
      </c>
      <c r="P15" s="15">
        <f t="shared" si="0"/>
        <v>0</v>
      </c>
      <c r="Q15" s="103">
        <f t="shared" si="1"/>
        <v>0</v>
      </c>
      <c r="R15" s="103">
        <f t="shared" si="2"/>
        <v>13.92</v>
      </c>
      <c r="S15" s="104">
        <f t="shared" si="3"/>
        <v>3.740000000000002</v>
      </c>
    </row>
    <row r="16" spans="1:19" x14ac:dyDescent="0.2">
      <c r="A16" s="70">
        <v>13</v>
      </c>
      <c r="B16" s="99">
        <f>SSQ_Intermediate!B16+SSQ_Intermediate!G16+SSQ_Intermediate!H16+SSQ_Intermediate!I16+SSQ_Intermediate!J16+SSQ_Intermediate!P16+SSQ_Intermediate!Q16</f>
        <v>2</v>
      </c>
      <c r="C16" s="100">
        <f>IF(AND(SSQ_Intermediate!R16="",SSQ_Intermediate!W16="",SSQ_Intermediate!X16="",SSQ_Intermediate!Y16="",SSQ_Intermediate!Z16="",SSQ_Intermediate!AF16="",SSQ_Intermediate!AG16=""),"",SUM(SSQ_Intermediate!R16,SSQ_Intermediate!W16,SSQ_Intermediate!X16,SSQ_Intermediate!Y16,SSQ_Intermediate!Z16,SSQ_Intermediate!AF16,SSQ_Intermediate!AG16))</f>
        <v>4</v>
      </c>
      <c r="D16" s="100">
        <f>B16*'SSQ Metadata'!$B$12</f>
        <v>19.079999999999998</v>
      </c>
      <c r="E16" s="22">
        <f>IF(C16="","",C16*'SSQ Metadata'!$B$12)</f>
        <v>38.159999999999997</v>
      </c>
      <c r="F16" s="20">
        <f>SSQ_Intermediate!B16+SSQ_Intermediate!C16+SSQ_Intermediate!D16+SSQ_Intermediate!E16+SSQ_Intermediate!F16+SSQ_Intermediate!J16+SSQ_Intermediate!L16</f>
        <v>7</v>
      </c>
      <c r="G16" s="101">
        <f>IF(AND(SSQ_Intermediate!R16="",SSQ_Intermediate!S16="",SSQ_Intermediate!T16="",SSQ_Intermediate!U16="",SSQ_Intermediate!V16="",SSQ_Intermediate!Z16="",SSQ_Intermediate!AB16=""),"",SUM(SSQ_Intermediate!R16,SSQ_Intermediate!S16,SSQ_Intermediate!T16,SSQ_Intermediate!U16,SSQ_Intermediate!V16,SSQ_Intermediate!Z16,SSQ_Intermediate!AB16))</f>
        <v>12</v>
      </c>
      <c r="H16" s="101">
        <f>F16*'SSQ Metadata'!$B$13</f>
        <v>53.06</v>
      </c>
      <c r="I16" s="21">
        <f>IF(G16="","",G16*'SSQ Metadata'!$B$13)</f>
        <v>90.960000000000008</v>
      </c>
      <c r="J16" s="18">
        <f>SSQ_Intermediate!F16+SSQ_Intermediate!I16+SSQ_Intermediate!K16+SSQ_Intermediate!L16+SSQ_Intermediate!M16+SSQ_Intermediate!N16+SSQ_Intermediate!O16</f>
        <v>3</v>
      </c>
      <c r="K16" s="102">
        <f>IF(AND(SSQ_Intermediate!V16="",SSQ_Intermediate!Y16="",SSQ_Intermediate!AA16="",SSQ_Intermediate!AB16="",SSQ_Intermediate!AC16="",SSQ_Intermediate!AD16="",SSQ_Intermediate!AE16=""),"",SUM(SSQ_Intermediate!V16,SSQ_Intermediate!Y16,SSQ_Intermediate!AA16,SSQ_Intermediate!AB16,SSQ_Intermediate!AC16,SSQ_Intermediate!AD16,SSQ_Intermediate!AE16))</f>
        <v>9</v>
      </c>
      <c r="L16" s="102">
        <f>J16*'SSQ Metadata'!$B$14</f>
        <v>41.76</v>
      </c>
      <c r="M16" s="19">
        <f>IF(K16="","",K16*'SSQ Metadata'!$B$14)</f>
        <v>125.28</v>
      </c>
      <c r="N16" s="16">
        <f>(B16+F16+J16)*'SSQ Metadata'!$B$15</f>
        <v>44.88</v>
      </c>
      <c r="O16" s="17">
        <f>IF(AND(C16="",G16="",K16=""),"",(C16+G16+K16)*'SSQ Metadata'!$B$15)</f>
        <v>93.5</v>
      </c>
      <c r="P16" s="15">
        <f t="shared" si="0"/>
        <v>19.079999999999998</v>
      </c>
      <c r="Q16" s="103">
        <f t="shared" si="1"/>
        <v>37.900000000000006</v>
      </c>
      <c r="R16" s="103">
        <f t="shared" si="2"/>
        <v>83.52000000000001</v>
      </c>
      <c r="S16" s="104">
        <f t="shared" si="3"/>
        <v>48.62</v>
      </c>
    </row>
    <row r="17" spans="1:19" x14ac:dyDescent="0.2">
      <c r="A17" s="70">
        <v>14</v>
      </c>
      <c r="B17" s="99">
        <f>SSQ_Intermediate!B17+SSQ_Intermediate!G17+SSQ_Intermediate!H17+SSQ_Intermediate!I17+SSQ_Intermediate!J17+SSQ_Intermediate!P17+SSQ_Intermediate!Q17</f>
        <v>2</v>
      </c>
      <c r="C17" s="100">
        <f>IF(AND(SSQ_Intermediate!R17="",SSQ_Intermediate!W17="",SSQ_Intermediate!X17="",SSQ_Intermediate!Y17="",SSQ_Intermediate!Z17="",SSQ_Intermediate!AF17="",SSQ_Intermediate!AG17=""),"",SUM(SSQ_Intermediate!R17,SSQ_Intermediate!W17,SSQ_Intermediate!X17,SSQ_Intermediate!Y17,SSQ_Intermediate!Z17,SSQ_Intermediate!AF17,SSQ_Intermediate!AG17))</f>
        <v>5</v>
      </c>
      <c r="D17" s="100">
        <f>B17*'SSQ Metadata'!$B$12</f>
        <v>19.079999999999998</v>
      </c>
      <c r="E17" s="22">
        <f>IF(C17="","",C17*'SSQ Metadata'!$B$12)</f>
        <v>47.699999999999996</v>
      </c>
      <c r="F17" s="20">
        <f>SSQ_Intermediate!B17+SSQ_Intermediate!C17+SSQ_Intermediate!D17+SSQ_Intermediate!E17+SSQ_Intermediate!F17+SSQ_Intermediate!J17+SSQ_Intermediate!L17</f>
        <v>4</v>
      </c>
      <c r="G17" s="101">
        <f>IF(AND(SSQ_Intermediate!R17="",SSQ_Intermediate!S17="",SSQ_Intermediate!T17="",SSQ_Intermediate!U17="",SSQ_Intermediate!V17="",SSQ_Intermediate!Z17="",SSQ_Intermediate!AB17=""),"",SUM(SSQ_Intermediate!R17,SSQ_Intermediate!S17,SSQ_Intermediate!T17,SSQ_Intermediate!U17,SSQ_Intermediate!V17,SSQ_Intermediate!Z17,SSQ_Intermediate!AB17))</f>
        <v>6</v>
      </c>
      <c r="H17" s="101">
        <f>F17*'SSQ Metadata'!$B$13</f>
        <v>30.32</v>
      </c>
      <c r="I17" s="21">
        <f>IF(G17="","",G17*'SSQ Metadata'!$B$13)</f>
        <v>45.480000000000004</v>
      </c>
      <c r="J17" s="18">
        <f>SSQ_Intermediate!F17+SSQ_Intermediate!I17+SSQ_Intermediate!K17+SSQ_Intermediate!L17+SSQ_Intermediate!M17+SSQ_Intermediate!N17+SSQ_Intermediate!O17</f>
        <v>3</v>
      </c>
      <c r="K17" s="102">
        <f>IF(AND(SSQ_Intermediate!V17="",SSQ_Intermediate!Y17="",SSQ_Intermediate!AA17="",SSQ_Intermediate!AB17="",SSQ_Intermediate!AC17="",SSQ_Intermediate!AD17="",SSQ_Intermediate!AE17=""),"",SUM(SSQ_Intermediate!V17,SSQ_Intermediate!Y17,SSQ_Intermediate!AA17,SSQ_Intermediate!AB17,SSQ_Intermediate!AC17,SSQ_Intermediate!AD17,SSQ_Intermediate!AE17))</f>
        <v>6</v>
      </c>
      <c r="L17" s="102">
        <f>J17*'SSQ Metadata'!$B$14</f>
        <v>41.76</v>
      </c>
      <c r="M17" s="19">
        <f>IF(K17="","",K17*'SSQ Metadata'!$B$14)</f>
        <v>83.52</v>
      </c>
      <c r="N17" s="16">
        <f>(B17+F17+J17)*'SSQ Metadata'!$B$15</f>
        <v>33.660000000000004</v>
      </c>
      <c r="O17" s="17">
        <f>IF(AND(C17="",G17="",K17=""),"",(C17+G17+K17)*'SSQ Metadata'!$B$15)</f>
        <v>63.580000000000005</v>
      </c>
      <c r="P17" s="15">
        <f t="shared" si="0"/>
        <v>28.619999999999997</v>
      </c>
      <c r="Q17" s="103">
        <f t="shared" si="1"/>
        <v>15.160000000000004</v>
      </c>
      <c r="R17" s="103">
        <f t="shared" si="2"/>
        <v>41.76</v>
      </c>
      <c r="S17" s="104">
        <f t="shared" si="3"/>
        <v>29.92</v>
      </c>
    </row>
    <row r="18" spans="1:19" x14ac:dyDescent="0.2">
      <c r="A18" s="70">
        <v>15</v>
      </c>
      <c r="B18" s="99">
        <f>SSQ_Intermediate!B18+SSQ_Intermediate!G18+SSQ_Intermediate!H18+SSQ_Intermediate!I18+SSQ_Intermediate!J18+SSQ_Intermediate!P18+SSQ_Intermediate!Q18</f>
        <v>2</v>
      </c>
      <c r="C18" s="100">
        <f>IF(AND(SSQ_Intermediate!R18="",SSQ_Intermediate!W18="",SSQ_Intermediate!X18="",SSQ_Intermediate!Y18="",SSQ_Intermediate!Z18="",SSQ_Intermediate!AF18="",SSQ_Intermediate!AG18=""),"",SUM(SSQ_Intermediate!R18,SSQ_Intermediate!W18,SSQ_Intermediate!X18,SSQ_Intermediate!Y18,SSQ_Intermediate!Z18,SSQ_Intermediate!AF18,SSQ_Intermediate!AG18))</f>
        <v>0</v>
      </c>
      <c r="D18" s="100">
        <f>B18*'SSQ Metadata'!$B$12</f>
        <v>19.079999999999998</v>
      </c>
      <c r="E18" s="22">
        <f>IF(C18="","",C18*'SSQ Metadata'!$B$12)</f>
        <v>0</v>
      </c>
      <c r="F18" s="20">
        <f>SSQ_Intermediate!B18+SSQ_Intermediate!C18+SSQ_Intermediate!D18+SSQ_Intermediate!E18+SSQ_Intermediate!F18+SSQ_Intermediate!J18+SSQ_Intermediate!L18</f>
        <v>1</v>
      </c>
      <c r="G18" s="101">
        <f>IF(AND(SSQ_Intermediate!R18="",SSQ_Intermediate!S18="",SSQ_Intermediate!T18="",SSQ_Intermediate!U18="",SSQ_Intermediate!V18="",SSQ_Intermediate!Z18="",SSQ_Intermediate!AB18=""),"",SUM(SSQ_Intermediate!R18,SSQ_Intermediate!S18,SSQ_Intermediate!T18,SSQ_Intermediate!U18,SSQ_Intermediate!V18,SSQ_Intermediate!Z18,SSQ_Intermediate!AB18))</f>
        <v>2</v>
      </c>
      <c r="H18" s="101">
        <f>F18*'SSQ Metadata'!$B$13</f>
        <v>7.58</v>
      </c>
      <c r="I18" s="21">
        <f>IF(G18="","",G18*'SSQ Metadata'!$B$13)</f>
        <v>15.16</v>
      </c>
      <c r="J18" s="18">
        <f>SSQ_Intermediate!F18+SSQ_Intermediate!I18+SSQ_Intermediate!K18+SSQ_Intermediate!L18+SSQ_Intermediate!M18+SSQ_Intermediate!N18+SSQ_Intermediate!O18</f>
        <v>0</v>
      </c>
      <c r="K18" s="102">
        <f>IF(AND(SSQ_Intermediate!V18="",SSQ_Intermediate!Y18="",SSQ_Intermediate!AA18="",SSQ_Intermediate!AB18="",SSQ_Intermediate!AC18="",SSQ_Intermediate!AD18="",SSQ_Intermediate!AE18=""),"",SUM(SSQ_Intermediate!V18,SSQ_Intermediate!Y18,SSQ_Intermediate!AA18,SSQ_Intermediate!AB18,SSQ_Intermediate!AC18,SSQ_Intermediate!AD18,SSQ_Intermediate!AE18))</f>
        <v>0</v>
      </c>
      <c r="L18" s="102">
        <f>J18*'SSQ Metadata'!$B$14</f>
        <v>0</v>
      </c>
      <c r="M18" s="19">
        <f>IF(K18="","",K18*'SSQ Metadata'!$B$14)</f>
        <v>0</v>
      </c>
      <c r="N18" s="16">
        <f>(B18+F18+J18)*'SSQ Metadata'!$B$15</f>
        <v>11.22</v>
      </c>
      <c r="O18" s="17">
        <f>IF(AND(C18="",G18="",K18=""),"",(C18+G18+K18)*'SSQ Metadata'!$B$15)</f>
        <v>7.48</v>
      </c>
      <c r="P18" s="15">
        <f t="shared" si="0"/>
        <v>-19.079999999999998</v>
      </c>
      <c r="Q18" s="103">
        <f t="shared" si="1"/>
        <v>7.58</v>
      </c>
      <c r="R18" s="103">
        <f t="shared" si="2"/>
        <v>0</v>
      </c>
      <c r="S18" s="104">
        <f t="shared" si="3"/>
        <v>-3.74</v>
      </c>
    </row>
    <row r="19" spans="1:19" x14ac:dyDescent="0.2">
      <c r="A19" s="70">
        <v>16</v>
      </c>
      <c r="B19" s="99">
        <f>SSQ_Intermediate!B19+SSQ_Intermediate!G19+SSQ_Intermediate!H19+SSQ_Intermediate!I19+SSQ_Intermediate!J19+SSQ_Intermediate!P19+SSQ_Intermediate!Q19</f>
        <v>4</v>
      </c>
      <c r="C19" s="100">
        <f>IF(AND(SSQ_Intermediate!R19="",SSQ_Intermediate!W19="",SSQ_Intermediate!X19="",SSQ_Intermediate!Y19="",SSQ_Intermediate!Z19="",SSQ_Intermediate!AF19="",SSQ_Intermediate!AG19=""),"",SUM(SSQ_Intermediate!R19,SSQ_Intermediate!W19,SSQ_Intermediate!X19,SSQ_Intermediate!Y19,SSQ_Intermediate!Z19,SSQ_Intermediate!AF19,SSQ_Intermediate!AG19))</f>
        <v>2</v>
      </c>
      <c r="D19" s="100">
        <f>B19*'SSQ Metadata'!$B$12</f>
        <v>38.159999999999997</v>
      </c>
      <c r="E19" s="22">
        <f>IF(C19="","",C19*'SSQ Metadata'!$B$12)</f>
        <v>19.079999999999998</v>
      </c>
      <c r="F19" s="20">
        <f>SSQ_Intermediate!B19+SSQ_Intermediate!C19+SSQ_Intermediate!D19+SSQ_Intermediate!E19+SSQ_Intermediate!F19+SSQ_Intermediate!J19+SSQ_Intermediate!L19</f>
        <v>5</v>
      </c>
      <c r="G19" s="101">
        <f>IF(AND(SSQ_Intermediate!R19="",SSQ_Intermediate!S19="",SSQ_Intermediate!T19="",SSQ_Intermediate!U19="",SSQ_Intermediate!V19="",SSQ_Intermediate!Z19="",SSQ_Intermediate!AB19=""),"",SUM(SSQ_Intermediate!R19,SSQ_Intermediate!S19,SSQ_Intermediate!T19,SSQ_Intermediate!U19,SSQ_Intermediate!V19,SSQ_Intermediate!Z19,SSQ_Intermediate!AB19))</f>
        <v>6</v>
      </c>
      <c r="H19" s="101">
        <f>F19*'SSQ Metadata'!$B$13</f>
        <v>37.9</v>
      </c>
      <c r="I19" s="21">
        <f>IF(G19="","",G19*'SSQ Metadata'!$B$13)</f>
        <v>45.480000000000004</v>
      </c>
      <c r="J19" s="18">
        <f>SSQ_Intermediate!F19+SSQ_Intermediate!I19+SSQ_Intermediate!K19+SSQ_Intermediate!L19+SSQ_Intermediate!M19+SSQ_Intermediate!N19+SSQ_Intermediate!O19</f>
        <v>2</v>
      </c>
      <c r="K19" s="102">
        <f>IF(AND(SSQ_Intermediate!V19="",SSQ_Intermediate!Y19="",SSQ_Intermediate!AA19="",SSQ_Intermediate!AB19="",SSQ_Intermediate!AC19="",SSQ_Intermediate!AD19="",SSQ_Intermediate!AE19=""),"",SUM(SSQ_Intermediate!V19,SSQ_Intermediate!Y19,SSQ_Intermediate!AA19,SSQ_Intermediate!AB19,SSQ_Intermediate!AC19,SSQ_Intermediate!AD19,SSQ_Intermediate!AE19))</f>
        <v>2</v>
      </c>
      <c r="L19" s="102">
        <f>J19*'SSQ Metadata'!$B$14</f>
        <v>27.84</v>
      </c>
      <c r="M19" s="19">
        <f>IF(K19="","",K19*'SSQ Metadata'!$B$14)</f>
        <v>27.84</v>
      </c>
      <c r="N19" s="16">
        <f>(B19+F19+J19)*'SSQ Metadata'!$B$15</f>
        <v>41.14</v>
      </c>
      <c r="O19" s="17">
        <f>IF(AND(C19="",G19="",K19=""),"",(C19+G19+K19)*'SSQ Metadata'!$B$15)</f>
        <v>37.400000000000006</v>
      </c>
      <c r="P19" s="15">
        <f t="shared" si="0"/>
        <v>-19.079999999999998</v>
      </c>
      <c r="Q19" s="103">
        <f t="shared" si="1"/>
        <v>7.5800000000000054</v>
      </c>
      <c r="R19" s="103">
        <f t="shared" si="2"/>
        <v>0</v>
      </c>
      <c r="S19" s="104">
        <f t="shared" si="3"/>
        <v>-3.7399999999999949</v>
      </c>
    </row>
    <row r="20" spans="1:19" x14ac:dyDescent="0.2">
      <c r="A20" s="70">
        <v>17</v>
      </c>
      <c r="B20" s="99">
        <f>SSQ_Intermediate!B20+SSQ_Intermediate!G20+SSQ_Intermediate!H20+SSQ_Intermediate!I20+SSQ_Intermediate!J20+SSQ_Intermediate!P20+SSQ_Intermediate!Q20</f>
        <v>4</v>
      </c>
      <c r="C20" s="100">
        <f>IF(AND(SSQ_Intermediate!R20="",SSQ_Intermediate!W20="",SSQ_Intermediate!X20="",SSQ_Intermediate!Y20="",SSQ_Intermediate!Z20="",SSQ_Intermediate!AF20="",SSQ_Intermediate!AG20=""),"",SUM(SSQ_Intermediate!R20,SSQ_Intermediate!W20,SSQ_Intermediate!X20,SSQ_Intermediate!Y20,SSQ_Intermediate!Z20,SSQ_Intermediate!AF20,SSQ_Intermediate!AG20))</f>
        <v>2</v>
      </c>
      <c r="D20" s="100">
        <f>B20*'SSQ Metadata'!$B$12</f>
        <v>38.159999999999997</v>
      </c>
      <c r="E20" s="22">
        <f>IF(C20="","",C20*'SSQ Metadata'!$B$12)</f>
        <v>19.079999999999998</v>
      </c>
      <c r="F20" s="20">
        <f>SSQ_Intermediate!B20+SSQ_Intermediate!C20+SSQ_Intermediate!D20+SSQ_Intermediate!E20+SSQ_Intermediate!F20+SSQ_Intermediate!J20+SSQ_Intermediate!L20</f>
        <v>2</v>
      </c>
      <c r="G20" s="101">
        <f>IF(AND(SSQ_Intermediate!R20="",SSQ_Intermediate!S20="",SSQ_Intermediate!T20="",SSQ_Intermediate!U20="",SSQ_Intermediate!V20="",SSQ_Intermediate!Z20="",SSQ_Intermediate!AB20=""),"",SUM(SSQ_Intermediate!R20,SSQ_Intermediate!S20,SSQ_Intermediate!T20,SSQ_Intermediate!U20,SSQ_Intermediate!V20,SSQ_Intermediate!Z20,SSQ_Intermediate!AB20))</f>
        <v>2</v>
      </c>
      <c r="H20" s="101">
        <f>F20*'SSQ Metadata'!$B$13</f>
        <v>15.16</v>
      </c>
      <c r="I20" s="21">
        <f>IF(G20="","",G20*'SSQ Metadata'!$B$13)</f>
        <v>15.16</v>
      </c>
      <c r="J20" s="18">
        <f>SSQ_Intermediate!F20+SSQ_Intermediate!I20+SSQ_Intermediate!K20+SSQ_Intermediate!L20+SSQ_Intermediate!M20+SSQ_Intermediate!N20+SSQ_Intermediate!O20</f>
        <v>0</v>
      </c>
      <c r="K20" s="102">
        <f>IF(AND(SSQ_Intermediate!V20="",SSQ_Intermediate!Y20="",SSQ_Intermediate!AA20="",SSQ_Intermediate!AB20="",SSQ_Intermediate!AC20="",SSQ_Intermediate!AD20="",SSQ_Intermediate!AE20=""),"",SUM(SSQ_Intermediate!V20,SSQ_Intermediate!Y20,SSQ_Intermediate!AA20,SSQ_Intermediate!AB20,SSQ_Intermediate!AC20,SSQ_Intermediate!AD20,SSQ_Intermediate!AE20))</f>
        <v>0</v>
      </c>
      <c r="L20" s="102">
        <f>J20*'SSQ Metadata'!$B$14</f>
        <v>0</v>
      </c>
      <c r="M20" s="19">
        <f>IF(K20="","",K20*'SSQ Metadata'!$B$14)</f>
        <v>0</v>
      </c>
      <c r="N20" s="16">
        <f>(B20+F20+J20)*'SSQ Metadata'!$B$15</f>
        <v>22.44</v>
      </c>
      <c r="O20" s="17">
        <f>IF(AND(C20="",G20="",K20=""),"",(C20+G20+K20)*'SSQ Metadata'!$B$15)</f>
        <v>14.96</v>
      </c>
      <c r="P20" s="15">
        <f t="shared" si="0"/>
        <v>-19.079999999999998</v>
      </c>
      <c r="Q20" s="103">
        <f t="shared" si="1"/>
        <v>0</v>
      </c>
      <c r="R20" s="103">
        <f t="shared" si="2"/>
        <v>0</v>
      </c>
      <c r="S20" s="104">
        <f t="shared" si="3"/>
        <v>-7.48</v>
      </c>
    </row>
    <row r="21" spans="1:19" x14ac:dyDescent="0.2">
      <c r="A21" s="70">
        <v>18</v>
      </c>
      <c r="B21" s="99">
        <f>SSQ_Intermediate!B21+SSQ_Intermediate!G21+SSQ_Intermediate!H21+SSQ_Intermediate!I21+SSQ_Intermediate!J21+SSQ_Intermediate!P21+SSQ_Intermediate!Q21</f>
        <v>2</v>
      </c>
      <c r="C21" s="100">
        <f>IF(AND(SSQ_Intermediate!R21="",SSQ_Intermediate!W21="",SSQ_Intermediate!X21="",SSQ_Intermediate!Y21="",SSQ_Intermediate!Z21="",SSQ_Intermediate!AF21="",SSQ_Intermediate!AG21=""),"",SUM(SSQ_Intermediate!R21,SSQ_Intermediate!W21,SSQ_Intermediate!X21,SSQ_Intermediate!Y21,SSQ_Intermediate!Z21,SSQ_Intermediate!AF21,SSQ_Intermediate!AG21))</f>
        <v>0</v>
      </c>
      <c r="D21" s="100">
        <f>B21*'SSQ Metadata'!$B$12</f>
        <v>19.079999999999998</v>
      </c>
      <c r="E21" s="22">
        <f>IF(C21="","",C21*'SSQ Metadata'!$B$12)</f>
        <v>0</v>
      </c>
      <c r="F21" s="20">
        <f>SSQ_Intermediate!B21+SSQ_Intermediate!C21+SSQ_Intermediate!D21+SSQ_Intermediate!E21+SSQ_Intermediate!F21+SSQ_Intermediate!J21+SSQ_Intermediate!L21</f>
        <v>2</v>
      </c>
      <c r="G21" s="101">
        <f>IF(AND(SSQ_Intermediate!R21="",SSQ_Intermediate!S21="",SSQ_Intermediate!T21="",SSQ_Intermediate!U21="",SSQ_Intermediate!V21="",SSQ_Intermediate!Z21="",SSQ_Intermediate!AB21=""),"",SUM(SSQ_Intermediate!R21,SSQ_Intermediate!S21,SSQ_Intermediate!T21,SSQ_Intermediate!U21,SSQ_Intermediate!V21,SSQ_Intermediate!Z21,SSQ_Intermediate!AB21))</f>
        <v>2</v>
      </c>
      <c r="H21" s="101">
        <f>F21*'SSQ Metadata'!$B$13</f>
        <v>15.16</v>
      </c>
      <c r="I21" s="21">
        <f>IF(G21="","",G21*'SSQ Metadata'!$B$13)</f>
        <v>15.16</v>
      </c>
      <c r="J21" s="18">
        <f>SSQ_Intermediate!F21+SSQ_Intermediate!I21+SSQ_Intermediate!K21+SSQ_Intermediate!L21+SSQ_Intermediate!M21+SSQ_Intermediate!N21+SSQ_Intermediate!O21</f>
        <v>0</v>
      </c>
      <c r="K21" s="102">
        <f>IF(AND(SSQ_Intermediate!V21="",SSQ_Intermediate!Y21="",SSQ_Intermediate!AA21="",SSQ_Intermediate!AB21="",SSQ_Intermediate!AC21="",SSQ_Intermediate!AD21="",SSQ_Intermediate!AE21=""),"",SUM(SSQ_Intermediate!V21,SSQ_Intermediate!Y21,SSQ_Intermediate!AA21,SSQ_Intermediate!AB21,SSQ_Intermediate!AC21,SSQ_Intermediate!AD21,SSQ_Intermediate!AE21))</f>
        <v>2</v>
      </c>
      <c r="L21" s="102">
        <f>J21*'SSQ Metadata'!$B$14</f>
        <v>0</v>
      </c>
      <c r="M21" s="19">
        <f>IF(K21="","",K21*'SSQ Metadata'!$B$14)</f>
        <v>27.84</v>
      </c>
      <c r="N21" s="16">
        <f>(B21+F21+J21)*'SSQ Metadata'!$B$15</f>
        <v>14.96</v>
      </c>
      <c r="O21" s="17">
        <f>IF(AND(C21="",G21="",K21=""),"",(C21+G21+K21)*'SSQ Metadata'!$B$15)</f>
        <v>14.96</v>
      </c>
      <c r="P21" s="15">
        <f t="shared" si="0"/>
        <v>-19.079999999999998</v>
      </c>
      <c r="Q21" s="103">
        <f t="shared" si="1"/>
        <v>0</v>
      </c>
      <c r="R21" s="103">
        <f t="shared" si="2"/>
        <v>27.84</v>
      </c>
      <c r="S21" s="104">
        <f t="shared" si="3"/>
        <v>0</v>
      </c>
    </row>
    <row r="22" spans="1:19" x14ac:dyDescent="0.2">
      <c r="A22" s="70">
        <v>19</v>
      </c>
      <c r="B22" s="99">
        <f>SSQ_Intermediate!B22+SSQ_Intermediate!G22+SSQ_Intermediate!H22+SSQ_Intermediate!I22+SSQ_Intermediate!J22+SSQ_Intermediate!P22+SSQ_Intermediate!Q22</f>
        <v>2</v>
      </c>
      <c r="C22" s="100">
        <f>IF(AND(SSQ_Intermediate!R22="",SSQ_Intermediate!W22="",SSQ_Intermediate!X22="",SSQ_Intermediate!Y22="",SSQ_Intermediate!Z22="",SSQ_Intermediate!AF22="",SSQ_Intermediate!AG22=""),"",SUM(SSQ_Intermediate!R22,SSQ_Intermediate!W22,SSQ_Intermediate!X22,SSQ_Intermediate!Y22,SSQ_Intermediate!Z22,SSQ_Intermediate!AF22,SSQ_Intermediate!AG22))</f>
        <v>3</v>
      </c>
      <c r="D22" s="100">
        <f>B22*'SSQ Metadata'!$B$12</f>
        <v>19.079999999999998</v>
      </c>
      <c r="E22" s="22">
        <f>IF(C22="","",C22*'SSQ Metadata'!$B$12)</f>
        <v>28.619999999999997</v>
      </c>
      <c r="F22" s="20">
        <f>SSQ_Intermediate!B22+SSQ_Intermediate!C22+SSQ_Intermediate!D22+SSQ_Intermediate!E22+SSQ_Intermediate!F22+SSQ_Intermediate!J22+SSQ_Intermediate!L22</f>
        <v>3</v>
      </c>
      <c r="G22" s="101">
        <f>IF(AND(SSQ_Intermediate!R22="",SSQ_Intermediate!S22="",SSQ_Intermediate!T22="",SSQ_Intermediate!U22="",SSQ_Intermediate!V22="",SSQ_Intermediate!Z22="",SSQ_Intermediate!AB22=""),"",SUM(SSQ_Intermediate!R22,SSQ_Intermediate!S22,SSQ_Intermediate!T22,SSQ_Intermediate!U22,SSQ_Intermediate!V22,SSQ_Intermediate!Z22,SSQ_Intermediate!AB22))</f>
        <v>5</v>
      </c>
      <c r="H22" s="101">
        <f>F22*'SSQ Metadata'!$B$13</f>
        <v>22.740000000000002</v>
      </c>
      <c r="I22" s="21">
        <f>IF(G22="","",G22*'SSQ Metadata'!$B$13)</f>
        <v>37.9</v>
      </c>
      <c r="J22" s="18">
        <f>SSQ_Intermediate!F22+SSQ_Intermediate!I22+SSQ_Intermediate!K22+SSQ_Intermediate!L22+SSQ_Intermediate!M22+SSQ_Intermediate!N22+SSQ_Intermediate!O22</f>
        <v>1</v>
      </c>
      <c r="K22" s="102">
        <f>IF(AND(SSQ_Intermediate!V22="",SSQ_Intermediate!Y22="",SSQ_Intermediate!AA22="",SSQ_Intermediate!AB22="",SSQ_Intermediate!AC22="",SSQ_Intermediate!AD22="",SSQ_Intermediate!AE22=""),"",SUM(SSQ_Intermediate!V22,SSQ_Intermediate!Y22,SSQ_Intermediate!AA22,SSQ_Intermediate!AB22,SSQ_Intermediate!AC22,SSQ_Intermediate!AD22,SSQ_Intermediate!AE22))</f>
        <v>3</v>
      </c>
      <c r="L22" s="102">
        <f>J22*'SSQ Metadata'!$B$14</f>
        <v>13.92</v>
      </c>
      <c r="M22" s="19">
        <f>IF(K22="","",K22*'SSQ Metadata'!$B$14)</f>
        <v>41.76</v>
      </c>
      <c r="N22" s="16">
        <f>(B22+F22+J22)*'SSQ Metadata'!$B$15</f>
        <v>22.44</v>
      </c>
      <c r="O22" s="17">
        <f>IF(AND(C22="",G22="",K22=""),"",(C22+G22+K22)*'SSQ Metadata'!$B$15)</f>
        <v>41.14</v>
      </c>
      <c r="P22" s="15">
        <f t="shared" si="0"/>
        <v>9.5399999999999991</v>
      </c>
      <c r="Q22" s="103">
        <f t="shared" si="1"/>
        <v>15.159999999999997</v>
      </c>
      <c r="R22" s="103">
        <f t="shared" si="2"/>
        <v>27.839999999999996</v>
      </c>
      <c r="S22" s="104">
        <f t="shared" si="3"/>
        <v>18.7</v>
      </c>
    </row>
    <row r="23" spans="1:19" x14ac:dyDescent="0.2">
      <c r="A23" s="70">
        <v>20</v>
      </c>
      <c r="B23" s="99">
        <f>SSQ_Intermediate!B23+SSQ_Intermediate!G23+SSQ_Intermediate!H23+SSQ_Intermediate!I23+SSQ_Intermediate!J23+SSQ_Intermediate!P23+SSQ_Intermediate!Q23</f>
        <v>0</v>
      </c>
      <c r="C23" s="100">
        <f>IF(AND(SSQ_Intermediate!R23="",SSQ_Intermediate!W23="",SSQ_Intermediate!X23="",SSQ_Intermediate!Y23="",SSQ_Intermediate!Z23="",SSQ_Intermediate!AF23="",SSQ_Intermediate!AG23=""),"",SUM(SSQ_Intermediate!R23,SSQ_Intermediate!W23,SSQ_Intermediate!X23,SSQ_Intermediate!Y23,SSQ_Intermediate!Z23,SSQ_Intermediate!AF23,SSQ_Intermediate!AG23))</f>
        <v>2</v>
      </c>
      <c r="D23" s="100">
        <f>B23*'SSQ Metadata'!$B$12</f>
        <v>0</v>
      </c>
      <c r="E23" s="22">
        <f>IF(C23="","",C23*'SSQ Metadata'!$B$12)</f>
        <v>19.079999999999998</v>
      </c>
      <c r="F23" s="20">
        <f>SSQ_Intermediate!B23+SSQ_Intermediate!C23+SSQ_Intermediate!D23+SSQ_Intermediate!E23+SSQ_Intermediate!F23+SSQ_Intermediate!J23+SSQ_Intermediate!L23</f>
        <v>1</v>
      </c>
      <c r="G23" s="101">
        <f>IF(AND(SSQ_Intermediate!R23="",SSQ_Intermediate!S23="",SSQ_Intermediate!T23="",SSQ_Intermediate!U23="",SSQ_Intermediate!V23="",SSQ_Intermediate!Z23="",SSQ_Intermediate!AB23=""),"",SUM(SSQ_Intermediate!R23,SSQ_Intermediate!S23,SSQ_Intermediate!T23,SSQ_Intermediate!U23,SSQ_Intermediate!V23,SSQ_Intermediate!Z23,SSQ_Intermediate!AB23))</f>
        <v>1</v>
      </c>
      <c r="H23" s="101">
        <f>F23*'SSQ Metadata'!$B$13</f>
        <v>7.58</v>
      </c>
      <c r="I23" s="21">
        <f>IF(G23="","",G23*'SSQ Metadata'!$B$13)</f>
        <v>7.58</v>
      </c>
      <c r="J23" s="18">
        <f>SSQ_Intermediate!F23+SSQ_Intermediate!I23+SSQ_Intermediate!K23+SSQ_Intermediate!L23+SSQ_Intermediate!M23+SSQ_Intermediate!N23+SSQ_Intermediate!O23</f>
        <v>0</v>
      </c>
      <c r="K23" s="102">
        <f>IF(AND(SSQ_Intermediate!V23="",SSQ_Intermediate!Y23="",SSQ_Intermediate!AA23="",SSQ_Intermediate!AB23="",SSQ_Intermediate!AC23="",SSQ_Intermediate!AD23="",SSQ_Intermediate!AE23=""),"",SUM(SSQ_Intermediate!V23,SSQ_Intermediate!Y23,SSQ_Intermediate!AA23,SSQ_Intermediate!AB23,SSQ_Intermediate!AC23,SSQ_Intermediate!AD23,SSQ_Intermediate!AE23))</f>
        <v>2</v>
      </c>
      <c r="L23" s="102">
        <f>J23*'SSQ Metadata'!$B$14</f>
        <v>0</v>
      </c>
      <c r="M23" s="19">
        <f>IF(K23="","",K23*'SSQ Metadata'!$B$14)</f>
        <v>27.84</v>
      </c>
      <c r="N23" s="16">
        <f>(B23+F23+J23)*'SSQ Metadata'!$B$15</f>
        <v>3.74</v>
      </c>
      <c r="O23" s="17">
        <f>IF(AND(C23="",G23="",K23=""),"",(C23+G23+K23)*'SSQ Metadata'!$B$15)</f>
        <v>18.700000000000003</v>
      </c>
      <c r="P23" s="15">
        <f t="shared" si="0"/>
        <v>19.079999999999998</v>
      </c>
      <c r="Q23" s="103">
        <f t="shared" si="1"/>
        <v>0</v>
      </c>
      <c r="R23" s="103">
        <f t="shared" si="2"/>
        <v>27.84</v>
      </c>
      <c r="S23" s="104">
        <f t="shared" si="3"/>
        <v>14.960000000000003</v>
      </c>
    </row>
    <row r="24" spans="1:19" x14ac:dyDescent="0.2">
      <c r="A24" s="70">
        <v>21</v>
      </c>
      <c r="B24" s="99">
        <f>SSQ_Intermediate!B24+SSQ_Intermediate!G24+SSQ_Intermediate!H24+SSQ_Intermediate!I24+SSQ_Intermediate!J24+SSQ_Intermediate!P24+SSQ_Intermediate!Q24</f>
        <v>0</v>
      </c>
      <c r="C24" s="100">
        <f>IF(AND(SSQ_Intermediate!R24="",SSQ_Intermediate!W24="",SSQ_Intermediate!X24="",SSQ_Intermediate!Y24="",SSQ_Intermediate!Z24="",SSQ_Intermediate!AF24="",SSQ_Intermediate!AG24=""),"",SUM(SSQ_Intermediate!R24,SSQ_Intermediate!W24,SSQ_Intermediate!X24,SSQ_Intermediate!Y24,SSQ_Intermediate!Z24,SSQ_Intermediate!AF24,SSQ_Intermediate!AG24))</f>
        <v>0</v>
      </c>
      <c r="D24" s="100">
        <f>B24*'SSQ Metadata'!$B$12</f>
        <v>0</v>
      </c>
      <c r="E24" s="22">
        <f>IF(C24="","",C24*'SSQ Metadata'!$B$12)</f>
        <v>0</v>
      </c>
      <c r="F24" s="20">
        <f>SSQ_Intermediate!B24+SSQ_Intermediate!C24+SSQ_Intermediate!D24+SSQ_Intermediate!E24+SSQ_Intermediate!F24+SSQ_Intermediate!J24+SSQ_Intermediate!L24</f>
        <v>0</v>
      </c>
      <c r="G24" s="101">
        <f>IF(AND(SSQ_Intermediate!R24="",SSQ_Intermediate!S24="",SSQ_Intermediate!T24="",SSQ_Intermediate!U24="",SSQ_Intermediate!V24="",SSQ_Intermediate!Z24="",SSQ_Intermediate!AB24=""),"",SUM(SSQ_Intermediate!R24,SSQ_Intermediate!S24,SSQ_Intermediate!T24,SSQ_Intermediate!U24,SSQ_Intermediate!V24,SSQ_Intermediate!Z24,SSQ_Intermediate!AB24))</f>
        <v>1</v>
      </c>
      <c r="H24" s="101">
        <f>F24*'SSQ Metadata'!$B$13</f>
        <v>0</v>
      </c>
      <c r="I24" s="21">
        <f>IF(G24="","",G24*'SSQ Metadata'!$B$13)</f>
        <v>7.58</v>
      </c>
      <c r="J24" s="18">
        <f>SSQ_Intermediate!F24+SSQ_Intermediate!I24+SSQ_Intermediate!K24+SSQ_Intermediate!L24+SSQ_Intermediate!M24+SSQ_Intermediate!N24+SSQ_Intermediate!O24</f>
        <v>0</v>
      </c>
      <c r="K24" s="102">
        <f>IF(AND(SSQ_Intermediate!V24="",SSQ_Intermediate!Y24="",SSQ_Intermediate!AA24="",SSQ_Intermediate!AB24="",SSQ_Intermediate!AC24="",SSQ_Intermediate!AD24="",SSQ_Intermediate!AE24=""),"",SUM(SSQ_Intermediate!V24,SSQ_Intermediate!Y24,SSQ_Intermediate!AA24,SSQ_Intermediate!AB24,SSQ_Intermediate!AC24,SSQ_Intermediate!AD24,SSQ_Intermediate!AE24))</f>
        <v>1</v>
      </c>
      <c r="L24" s="102">
        <f>J24*'SSQ Metadata'!$B$14</f>
        <v>0</v>
      </c>
      <c r="M24" s="19">
        <f>IF(K24="","",K24*'SSQ Metadata'!$B$14)</f>
        <v>13.92</v>
      </c>
      <c r="N24" s="16">
        <f>(B24+F24+J24)*'SSQ Metadata'!$B$15</f>
        <v>0</v>
      </c>
      <c r="O24" s="17">
        <f>IF(AND(C24="",G24="",K24=""),"",(C24+G24+K24)*'SSQ Metadata'!$B$15)</f>
        <v>7.48</v>
      </c>
      <c r="P24" s="15">
        <f t="shared" si="0"/>
        <v>0</v>
      </c>
      <c r="Q24" s="103">
        <f t="shared" si="1"/>
        <v>7.58</v>
      </c>
      <c r="R24" s="103">
        <f t="shared" si="2"/>
        <v>13.92</v>
      </c>
      <c r="S24" s="104">
        <f t="shared" si="3"/>
        <v>7.48</v>
      </c>
    </row>
    <row r="25" spans="1:19" x14ac:dyDescent="0.2">
      <c r="A25" s="70">
        <v>22</v>
      </c>
      <c r="B25" s="99">
        <f>SSQ_Intermediate!B25+SSQ_Intermediate!G25+SSQ_Intermediate!H25+SSQ_Intermediate!I25+SSQ_Intermediate!J25+SSQ_Intermediate!P25+SSQ_Intermediate!Q25</f>
        <v>2</v>
      </c>
      <c r="C25" s="100">
        <f>IF(AND(SSQ_Intermediate!R25="",SSQ_Intermediate!W25="",SSQ_Intermediate!X25="",SSQ_Intermediate!Y25="",SSQ_Intermediate!Z25="",SSQ_Intermediate!AF25="",SSQ_Intermediate!AG25=""),"",SUM(SSQ_Intermediate!R25,SSQ_Intermediate!W25,SSQ_Intermediate!X25,SSQ_Intermediate!Y25,SSQ_Intermediate!Z25,SSQ_Intermediate!AF25,SSQ_Intermediate!AG25))</f>
        <v>3</v>
      </c>
      <c r="D25" s="100">
        <f>B25*'SSQ Metadata'!$B$12</f>
        <v>19.079999999999998</v>
      </c>
      <c r="E25" s="22">
        <f>IF(C25="","",C25*'SSQ Metadata'!$B$12)</f>
        <v>28.619999999999997</v>
      </c>
      <c r="F25" s="20">
        <f>SSQ_Intermediate!B25+SSQ_Intermediate!C25+SSQ_Intermediate!D25+SSQ_Intermediate!E25+SSQ_Intermediate!F25+SSQ_Intermediate!J25+SSQ_Intermediate!L25</f>
        <v>3</v>
      </c>
      <c r="G25" s="101">
        <f>IF(AND(SSQ_Intermediate!R25="",SSQ_Intermediate!S25="",SSQ_Intermediate!T25="",SSQ_Intermediate!U25="",SSQ_Intermediate!V25="",SSQ_Intermediate!Z25="",SSQ_Intermediate!AB25=""),"",SUM(SSQ_Intermediate!R25,SSQ_Intermediate!S25,SSQ_Intermediate!T25,SSQ_Intermediate!U25,SSQ_Intermediate!V25,SSQ_Intermediate!Z25,SSQ_Intermediate!AB25))</f>
        <v>4</v>
      </c>
      <c r="H25" s="101">
        <f>F25*'SSQ Metadata'!$B$13</f>
        <v>22.740000000000002</v>
      </c>
      <c r="I25" s="21">
        <f>IF(G25="","",G25*'SSQ Metadata'!$B$13)</f>
        <v>30.32</v>
      </c>
      <c r="J25" s="18">
        <f>SSQ_Intermediate!F25+SSQ_Intermediate!I25+SSQ_Intermediate!K25+SSQ_Intermediate!L25+SSQ_Intermediate!M25+SSQ_Intermediate!N25+SSQ_Intermediate!O25</f>
        <v>1</v>
      </c>
      <c r="K25" s="102">
        <f>IF(AND(SSQ_Intermediate!V25="",SSQ_Intermediate!Y25="",SSQ_Intermediate!AA25="",SSQ_Intermediate!AB25="",SSQ_Intermediate!AC25="",SSQ_Intermediate!AD25="",SSQ_Intermediate!AE25=""),"",SUM(SSQ_Intermediate!V25,SSQ_Intermediate!Y25,SSQ_Intermediate!AA25,SSQ_Intermediate!AB25,SSQ_Intermediate!AC25,SSQ_Intermediate!AD25,SSQ_Intermediate!AE25))</f>
        <v>2</v>
      </c>
      <c r="L25" s="102">
        <f>J25*'SSQ Metadata'!$B$14</f>
        <v>13.92</v>
      </c>
      <c r="M25" s="19">
        <f>IF(K25="","",K25*'SSQ Metadata'!$B$14)</f>
        <v>27.84</v>
      </c>
      <c r="N25" s="16">
        <f>(B25+F25+J25)*'SSQ Metadata'!$B$15</f>
        <v>22.44</v>
      </c>
      <c r="O25" s="17">
        <f>IF(AND(C25="",G25="",K25=""),"",(C25+G25+K25)*'SSQ Metadata'!$B$15)</f>
        <v>33.660000000000004</v>
      </c>
      <c r="P25" s="15">
        <f t="shared" si="0"/>
        <v>9.5399999999999991</v>
      </c>
      <c r="Q25" s="103">
        <f t="shared" si="1"/>
        <v>7.5799999999999983</v>
      </c>
      <c r="R25" s="103">
        <f t="shared" si="2"/>
        <v>13.92</v>
      </c>
      <c r="S25" s="104">
        <f t="shared" si="3"/>
        <v>11.220000000000002</v>
      </c>
    </row>
    <row r="26" spans="1:19" x14ac:dyDescent="0.2">
      <c r="A26" s="70">
        <v>23</v>
      </c>
      <c r="B26" s="99">
        <f>SSQ_Intermediate!B26+SSQ_Intermediate!G26+SSQ_Intermediate!H26+SSQ_Intermediate!I26+SSQ_Intermediate!J26+SSQ_Intermediate!P26+SSQ_Intermediate!Q26</f>
        <v>2</v>
      </c>
      <c r="C26" s="100">
        <f>IF(AND(SSQ_Intermediate!R26="",SSQ_Intermediate!W26="",SSQ_Intermediate!X26="",SSQ_Intermediate!Y26="",SSQ_Intermediate!Z26="",SSQ_Intermediate!AF26="",SSQ_Intermediate!AG26=""),"",SUM(SSQ_Intermediate!R26,SSQ_Intermediate!W26,SSQ_Intermediate!X26,SSQ_Intermediate!Y26,SSQ_Intermediate!Z26,SSQ_Intermediate!AF26,SSQ_Intermediate!AG26))</f>
        <v>2</v>
      </c>
      <c r="D26" s="100">
        <f>B26*'SSQ Metadata'!$B$12</f>
        <v>19.079999999999998</v>
      </c>
      <c r="E26" s="22">
        <f>IF(C26="","",C26*'SSQ Metadata'!$B$12)</f>
        <v>19.079999999999998</v>
      </c>
      <c r="F26" s="20">
        <f>SSQ_Intermediate!B26+SSQ_Intermediate!C26+SSQ_Intermediate!D26+SSQ_Intermediate!E26+SSQ_Intermediate!F26+SSQ_Intermediate!J26+SSQ_Intermediate!L26</f>
        <v>4</v>
      </c>
      <c r="G26" s="101">
        <f>IF(AND(SSQ_Intermediate!R26="",SSQ_Intermediate!S26="",SSQ_Intermediate!T26="",SSQ_Intermediate!U26="",SSQ_Intermediate!V26="",SSQ_Intermediate!Z26="",SSQ_Intermediate!AB26=""),"",SUM(SSQ_Intermediate!R26,SSQ_Intermediate!S26,SSQ_Intermediate!T26,SSQ_Intermediate!U26,SSQ_Intermediate!V26,SSQ_Intermediate!Z26,SSQ_Intermediate!AB26))</f>
        <v>6</v>
      </c>
      <c r="H26" s="101">
        <f>F26*'SSQ Metadata'!$B$13</f>
        <v>30.32</v>
      </c>
      <c r="I26" s="21">
        <f>IF(G26="","",G26*'SSQ Metadata'!$B$13)</f>
        <v>45.480000000000004</v>
      </c>
      <c r="J26" s="18">
        <f>SSQ_Intermediate!F26+SSQ_Intermediate!I26+SSQ_Intermediate!K26+SSQ_Intermediate!L26+SSQ_Intermediate!M26+SSQ_Intermediate!N26+SSQ_Intermediate!O26</f>
        <v>1</v>
      </c>
      <c r="K26" s="102">
        <f>IF(AND(SSQ_Intermediate!V26="",SSQ_Intermediate!Y26="",SSQ_Intermediate!AA26="",SSQ_Intermediate!AB26="",SSQ_Intermediate!AC26="",SSQ_Intermediate!AD26="",SSQ_Intermediate!AE26=""),"",SUM(SSQ_Intermediate!V26,SSQ_Intermediate!Y26,SSQ_Intermediate!AA26,SSQ_Intermediate!AB26,SSQ_Intermediate!AC26,SSQ_Intermediate!AD26,SSQ_Intermediate!AE26))</f>
        <v>2</v>
      </c>
      <c r="L26" s="102">
        <f>J26*'SSQ Metadata'!$B$14</f>
        <v>13.92</v>
      </c>
      <c r="M26" s="19">
        <f>IF(K26="","",K26*'SSQ Metadata'!$B$14)</f>
        <v>27.84</v>
      </c>
      <c r="N26" s="16">
        <f>(B26+F26+J26)*'SSQ Metadata'!$B$15</f>
        <v>26.18</v>
      </c>
      <c r="O26" s="17">
        <f>IF(AND(C26="",G26="",K26=""),"",(C26+G26+K26)*'SSQ Metadata'!$B$15)</f>
        <v>37.400000000000006</v>
      </c>
      <c r="P26" s="15">
        <f t="shared" si="0"/>
        <v>0</v>
      </c>
      <c r="Q26" s="103">
        <f t="shared" si="1"/>
        <v>15.160000000000004</v>
      </c>
      <c r="R26" s="103">
        <f t="shared" si="2"/>
        <v>13.92</v>
      </c>
      <c r="S26" s="104">
        <f t="shared" si="3"/>
        <v>11.220000000000006</v>
      </c>
    </row>
    <row r="27" spans="1:19" x14ac:dyDescent="0.2">
      <c r="A27" s="70">
        <v>24</v>
      </c>
      <c r="B27" s="99">
        <f>SSQ_Intermediate!B27+SSQ_Intermediate!G27+SSQ_Intermediate!H27+SSQ_Intermediate!I27+SSQ_Intermediate!J27+SSQ_Intermediate!P27+SSQ_Intermediate!Q27</f>
        <v>0</v>
      </c>
      <c r="C27" s="100">
        <f>IF(AND(SSQ_Intermediate!R27="",SSQ_Intermediate!W27="",SSQ_Intermediate!X27="",SSQ_Intermediate!Y27="",SSQ_Intermediate!Z27="",SSQ_Intermediate!AF27="",SSQ_Intermediate!AG27=""),"",SUM(SSQ_Intermediate!R27,SSQ_Intermediate!W27,SSQ_Intermediate!X27,SSQ_Intermediate!Y27,SSQ_Intermediate!Z27,SSQ_Intermediate!AF27,SSQ_Intermediate!AG27))</f>
        <v>0</v>
      </c>
      <c r="D27" s="100">
        <f>B27*'SSQ Metadata'!$B$12</f>
        <v>0</v>
      </c>
      <c r="E27" s="22">
        <f>IF(C27="","",C27*'SSQ Metadata'!$B$12)</f>
        <v>0</v>
      </c>
      <c r="F27" s="20">
        <f>SSQ_Intermediate!B27+SSQ_Intermediate!C27+SSQ_Intermediate!D27+SSQ_Intermediate!E27+SSQ_Intermediate!F27+SSQ_Intermediate!J27+SSQ_Intermediate!L27</f>
        <v>1</v>
      </c>
      <c r="G27" s="101">
        <f>IF(AND(SSQ_Intermediate!R27="",SSQ_Intermediate!S27="",SSQ_Intermediate!T27="",SSQ_Intermediate!U27="",SSQ_Intermediate!V27="",SSQ_Intermediate!Z27="",SSQ_Intermediate!AB27=""),"",SUM(SSQ_Intermediate!R27,SSQ_Intermediate!S27,SSQ_Intermediate!T27,SSQ_Intermediate!U27,SSQ_Intermediate!V27,SSQ_Intermediate!Z27,SSQ_Intermediate!AB27))</f>
        <v>2</v>
      </c>
      <c r="H27" s="101">
        <f>F27*'SSQ Metadata'!$B$13</f>
        <v>7.58</v>
      </c>
      <c r="I27" s="21">
        <f>IF(G27="","",G27*'SSQ Metadata'!$B$13)</f>
        <v>15.16</v>
      </c>
      <c r="J27" s="18">
        <f>SSQ_Intermediate!F27+SSQ_Intermediate!I27+SSQ_Intermediate!K27+SSQ_Intermediate!L27+SSQ_Intermediate!M27+SSQ_Intermediate!N27+SSQ_Intermediate!O27</f>
        <v>0</v>
      </c>
      <c r="K27" s="102">
        <f>IF(AND(SSQ_Intermediate!V27="",SSQ_Intermediate!Y27="",SSQ_Intermediate!AA27="",SSQ_Intermediate!AB27="",SSQ_Intermediate!AC27="",SSQ_Intermediate!AD27="",SSQ_Intermediate!AE27=""),"",SUM(SSQ_Intermediate!V27,SSQ_Intermediate!Y27,SSQ_Intermediate!AA27,SSQ_Intermediate!AB27,SSQ_Intermediate!AC27,SSQ_Intermediate!AD27,SSQ_Intermediate!AE27))</f>
        <v>0</v>
      </c>
      <c r="L27" s="102">
        <f>J27*'SSQ Metadata'!$B$14</f>
        <v>0</v>
      </c>
      <c r="M27" s="19">
        <f>IF(K27="","",K27*'SSQ Metadata'!$B$14)</f>
        <v>0</v>
      </c>
      <c r="N27" s="16">
        <f>(B27+F27+J27)*'SSQ Metadata'!$B$15</f>
        <v>3.74</v>
      </c>
      <c r="O27" s="17">
        <f>IF(AND(C27="",G27="",K27=""),"",(C27+G27+K27)*'SSQ Metadata'!$B$15)</f>
        <v>7.48</v>
      </c>
      <c r="P27" s="15">
        <f t="shared" si="0"/>
        <v>0</v>
      </c>
      <c r="Q27" s="103">
        <f t="shared" si="1"/>
        <v>7.58</v>
      </c>
      <c r="R27" s="103">
        <f t="shared" si="2"/>
        <v>0</v>
      </c>
      <c r="S27" s="104">
        <f t="shared" si="3"/>
        <v>3.74</v>
      </c>
    </row>
    <row r="28" spans="1:19" x14ac:dyDescent="0.2">
      <c r="A28" s="70">
        <v>25</v>
      </c>
      <c r="B28" s="99">
        <f>SSQ_Intermediate!B28+SSQ_Intermediate!G28+SSQ_Intermediate!H28+SSQ_Intermediate!I28+SSQ_Intermediate!J28+SSQ_Intermediate!P28+SSQ_Intermediate!Q28</f>
        <v>3</v>
      </c>
      <c r="C28" s="100">
        <f>IF(AND(SSQ_Intermediate!R28="",SSQ_Intermediate!W28="",SSQ_Intermediate!X28="",SSQ_Intermediate!Y28="",SSQ_Intermediate!Z28="",SSQ_Intermediate!AF28="",SSQ_Intermediate!AG28=""),"",SUM(SSQ_Intermediate!R28,SSQ_Intermediate!W28,SSQ_Intermediate!X28,SSQ_Intermediate!Y28,SSQ_Intermediate!Z28,SSQ_Intermediate!AF28,SSQ_Intermediate!AG28))</f>
        <v>2</v>
      </c>
      <c r="D28" s="100">
        <f>B28*'SSQ Metadata'!$B$12</f>
        <v>28.619999999999997</v>
      </c>
      <c r="E28" s="22">
        <f>IF(C28="","",C28*'SSQ Metadata'!$B$12)</f>
        <v>19.079999999999998</v>
      </c>
      <c r="F28" s="20">
        <f>SSQ_Intermediate!B28+SSQ_Intermediate!C28+SSQ_Intermediate!D28+SSQ_Intermediate!E28+SSQ_Intermediate!F28+SSQ_Intermediate!J28+SSQ_Intermediate!L28</f>
        <v>5</v>
      </c>
      <c r="G28" s="101">
        <f>IF(AND(SSQ_Intermediate!R28="",SSQ_Intermediate!S28="",SSQ_Intermediate!T28="",SSQ_Intermediate!U28="",SSQ_Intermediate!V28="",SSQ_Intermediate!Z28="",SSQ_Intermediate!AB28=""),"",SUM(SSQ_Intermediate!R28,SSQ_Intermediate!S28,SSQ_Intermediate!T28,SSQ_Intermediate!U28,SSQ_Intermediate!V28,SSQ_Intermediate!Z28,SSQ_Intermediate!AB28))</f>
        <v>6</v>
      </c>
      <c r="H28" s="101">
        <f>F28*'SSQ Metadata'!$B$13</f>
        <v>37.9</v>
      </c>
      <c r="I28" s="21">
        <f>IF(G28="","",G28*'SSQ Metadata'!$B$13)</f>
        <v>45.480000000000004</v>
      </c>
      <c r="J28" s="18">
        <f>SSQ_Intermediate!F28+SSQ_Intermediate!I28+SSQ_Intermediate!K28+SSQ_Intermediate!L28+SSQ_Intermediate!M28+SSQ_Intermediate!N28+SSQ_Intermediate!O28</f>
        <v>2</v>
      </c>
      <c r="K28" s="102">
        <f>IF(AND(SSQ_Intermediate!V28="",SSQ_Intermediate!Y28="",SSQ_Intermediate!AA28="",SSQ_Intermediate!AB28="",SSQ_Intermediate!AC28="",SSQ_Intermediate!AD28="",SSQ_Intermediate!AE28=""),"",SUM(SSQ_Intermediate!V28,SSQ_Intermediate!Y28,SSQ_Intermediate!AA28,SSQ_Intermediate!AB28,SSQ_Intermediate!AC28,SSQ_Intermediate!AD28,SSQ_Intermediate!AE28))</f>
        <v>3</v>
      </c>
      <c r="L28" s="102">
        <f>J28*'SSQ Metadata'!$B$14</f>
        <v>27.84</v>
      </c>
      <c r="M28" s="19">
        <f>IF(K28="","",K28*'SSQ Metadata'!$B$14)</f>
        <v>41.76</v>
      </c>
      <c r="N28" s="16">
        <f>(B28+F28+J28)*'SSQ Metadata'!$B$15</f>
        <v>37.400000000000006</v>
      </c>
      <c r="O28" s="17">
        <f>IF(AND(C28="",G28="",K28=""),"",(C28+G28+K28)*'SSQ Metadata'!$B$15)</f>
        <v>41.14</v>
      </c>
      <c r="P28" s="15">
        <f t="shared" si="0"/>
        <v>-9.5399999999999991</v>
      </c>
      <c r="Q28" s="103">
        <f t="shared" si="1"/>
        <v>7.5800000000000054</v>
      </c>
      <c r="R28" s="103">
        <f t="shared" si="2"/>
        <v>13.919999999999998</v>
      </c>
      <c r="S28" s="104">
        <f t="shared" si="3"/>
        <v>3.7399999999999949</v>
      </c>
    </row>
    <row r="29" spans="1:19" x14ac:dyDescent="0.2">
      <c r="A29" s="70">
        <v>26</v>
      </c>
      <c r="B29" s="99">
        <f>SSQ_Intermediate!B29+SSQ_Intermediate!G29+SSQ_Intermediate!H29+SSQ_Intermediate!I29+SSQ_Intermediate!J29+SSQ_Intermediate!P29+SSQ_Intermediate!Q29</f>
        <v>0</v>
      </c>
      <c r="C29" s="100">
        <f>IF(AND(SSQ_Intermediate!R29="",SSQ_Intermediate!W29="",SSQ_Intermediate!X29="",SSQ_Intermediate!Y29="",SSQ_Intermediate!Z29="",SSQ_Intermediate!AF29="",SSQ_Intermediate!AG29=""),"",SUM(SSQ_Intermediate!R29,SSQ_Intermediate!W29,SSQ_Intermediate!X29,SSQ_Intermediate!Y29,SSQ_Intermediate!Z29,SSQ_Intermediate!AF29,SSQ_Intermediate!AG29))</f>
        <v>1</v>
      </c>
      <c r="D29" s="100">
        <f>B29*'SSQ Metadata'!$B$12</f>
        <v>0</v>
      </c>
      <c r="E29" s="22">
        <f>IF(C29="","",C29*'SSQ Metadata'!$B$12)</f>
        <v>9.5399999999999991</v>
      </c>
      <c r="F29" s="20">
        <f>SSQ_Intermediate!B29+SSQ_Intermediate!C29+SSQ_Intermediate!D29+SSQ_Intermediate!E29+SSQ_Intermediate!F29+SSQ_Intermediate!J29+SSQ_Intermediate!L29</f>
        <v>1</v>
      </c>
      <c r="G29" s="101">
        <f>IF(AND(SSQ_Intermediate!R29="",SSQ_Intermediate!S29="",SSQ_Intermediate!T29="",SSQ_Intermediate!U29="",SSQ_Intermediate!V29="",SSQ_Intermediate!Z29="",SSQ_Intermediate!AB29=""),"",SUM(SSQ_Intermediate!R29,SSQ_Intermediate!S29,SSQ_Intermediate!T29,SSQ_Intermediate!U29,SSQ_Intermediate!V29,SSQ_Intermediate!Z29,SSQ_Intermediate!AB29))</f>
        <v>2</v>
      </c>
      <c r="H29" s="101">
        <f>F29*'SSQ Metadata'!$B$13</f>
        <v>7.58</v>
      </c>
      <c r="I29" s="21">
        <f>IF(G29="","",G29*'SSQ Metadata'!$B$13)</f>
        <v>15.16</v>
      </c>
      <c r="J29" s="18">
        <f>SSQ_Intermediate!F29+SSQ_Intermediate!I29+SSQ_Intermediate!K29+SSQ_Intermediate!L29+SSQ_Intermediate!M29+SSQ_Intermediate!N29+SSQ_Intermediate!O29</f>
        <v>0</v>
      </c>
      <c r="K29" s="102">
        <f>IF(AND(SSQ_Intermediate!V29="",SSQ_Intermediate!Y29="",SSQ_Intermediate!AA29="",SSQ_Intermediate!AB29="",SSQ_Intermediate!AC29="",SSQ_Intermediate!AD29="",SSQ_Intermediate!AE29=""),"",SUM(SSQ_Intermediate!V29,SSQ_Intermediate!Y29,SSQ_Intermediate!AA29,SSQ_Intermediate!AB29,SSQ_Intermediate!AC29,SSQ_Intermediate!AD29,SSQ_Intermediate!AE29))</f>
        <v>4</v>
      </c>
      <c r="L29" s="102">
        <f>J29*'SSQ Metadata'!$B$14</f>
        <v>0</v>
      </c>
      <c r="M29" s="19">
        <f>IF(K29="","",K29*'SSQ Metadata'!$B$14)</f>
        <v>55.68</v>
      </c>
      <c r="N29" s="16">
        <f>(B29+F29+J29)*'SSQ Metadata'!$B$15</f>
        <v>3.74</v>
      </c>
      <c r="O29" s="17">
        <f>IF(AND(C29="",G29="",K29=""),"",(C29+G29+K29)*'SSQ Metadata'!$B$15)</f>
        <v>26.18</v>
      </c>
      <c r="P29" s="15">
        <f t="shared" si="0"/>
        <v>9.5399999999999991</v>
      </c>
      <c r="Q29" s="103">
        <f t="shared" si="1"/>
        <v>7.58</v>
      </c>
      <c r="R29" s="103">
        <f t="shared" si="2"/>
        <v>55.68</v>
      </c>
      <c r="S29" s="104">
        <f t="shared" si="3"/>
        <v>22.439999999999998</v>
      </c>
    </row>
    <row r="30" spans="1:19" x14ac:dyDescent="0.2">
      <c r="A30" s="70">
        <v>27</v>
      </c>
      <c r="B30" s="99">
        <f>SSQ_Intermediate!B30+SSQ_Intermediate!G30+SSQ_Intermediate!H30+SSQ_Intermediate!I30+SSQ_Intermediate!J30+SSQ_Intermediate!P30+SSQ_Intermediate!Q30</f>
        <v>0</v>
      </c>
      <c r="C30" s="100">
        <f>IF(AND(SSQ_Intermediate!R30="",SSQ_Intermediate!W30="",SSQ_Intermediate!X30="",SSQ_Intermediate!Y30="",SSQ_Intermediate!Z30="",SSQ_Intermediate!AF30="",SSQ_Intermediate!AG30=""),"",SUM(SSQ_Intermediate!R30,SSQ_Intermediate!W30,SSQ_Intermediate!X30,SSQ_Intermediate!Y30,SSQ_Intermediate!Z30,SSQ_Intermediate!AF30,SSQ_Intermediate!AG30))</f>
        <v>4</v>
      </c>
      <c r="D30" s="100">
        <f>B30*'SSQ Metadata'!$B$12</f>
        <v>0</v>
      </c>
      <c r="E30" s="22">
        <f>IF(C30="","",C30*'SSQ Metadata'!$B$12)</f>
        <v>38.159999999999997</v>
      </c>
      <c r="F30" s="20">
        <f>SSQ_Intermediate!B30+SSQ_Intermediate!C30+SSQ_Intermediate!D30+SSQ_Intermediate!E30+SSQ_Intermediate!F30+SSQ_Intermediate!J30+SSQ_Intermediate!L30</f>
        <v>3</v>
      </c>
      <c r="G30" s="101">
        <f>IF(AND(SSQ_Intermediate!R30="",SSQ_Intermediate!S30="",SSQ_Intermediate!T30="",SSQ_Intermediate!U30="",SSQ_Intermediate!V30="",SSQ_Intermediate!Z30="",SSQ_Intermediate!AB30=""),"",SUM(SSQ_Intermediate!R30,SSQ_Intermediate!S30,SSQ_Intermediate!T30,SSQ_Intermediate!U30,SSQ_Intermediate!V30,SSQ_Intermediate!Z30,SSQ_Intermediate!AB30))</f>
        <v>9</v>
      </c>
      <c r="H30" s="101">
        <f>F30*'SSQ Metadata'!$B$13</f>
        <v>22.740000000000002</v>
      </c>
      <c r="I30" s="21">
        <f>IF(G30="","",G30*'SSQ Metadata'!$B$13)</f>
        <v>68.22</v>
      </c>
      <c r="J30" s="18">
        <f>SSQ_Intermediate!F30+SSQ_Intermediate!I30+SSQ_Intermediate!K30+SSQ_Intermediate!L30+SSQ_Intermediate!M30+SSQ_Intermediate!N30+SSQ_Intermediate!O30</f>
        <v>1</v>
      </c>
      <c r="K30" s="102">
        <f>IF(AND(SSQ_Intermediate!V30="",SSQ_Intermediate!Y30="",SSQ_Intermediate!AA30="",SSQ_Intermediate!AB30="",SSQ_Intermediate!AC30="",SSQ_Intermediate!AD30="",SSQ_Intermediate!AE30=""),"",SUM(SSQ_Intermediate!V30,SSQ_Intermediate!Y30,SSQ_Intermediate!AA30,SSQ_Intermediate!AB30,SSQ_Intermediate!AC30,SSQ_Intermediate!AD30,SSQ_Intermediate!AE30))</f>
        <v>5</v>
      </c>
      <c r="L30" s="102">
        <f>J30*'SSQ Metadata'!$B$14</f>
        <v>13.92</v>
      </c>
      <c r="M30" s="19">
        <f>IF(K30="","",K30*'SSQ Metadata'!$B$14)</f>
        <v>69.599999999999994</v>
      </c>
      <c r="N30" s="16">
        <f>(B30+F30+J30)*'SSQ Metadata'!$B$15</f>
        <v>14.96</v>
      </c>
      <c r="O30" s="17">
        <f>IF(AND(C30="",G30="",K30=""),"",(C30+G30+K30)*'SSQ Metadata'!$B$15)</f>
        <v>67.320000000000007</v>
      </c>
      <c r="P30" s="15">
        <f t="shared" si="0"/>
        <v>38.159999999999997</v>
      </c>
      <c r="Q30" s="103">
        <f t="shared" si="1"/>
        <v>45.48</v>
      </c>
      <c r="R30" s="103">
        <f t="shared" si="2"/>
        <v>55.679999999999993</v>
      </c>
      <c r="S30" s="104">
        <f t="shared" si="3"/>
        <v>52.360000000000007</v>
      </c>
    </row>
    <row r="31" spans="1:19" x14ac:dyDescent="0.2">
      <c r="A31" s="70">
        <v>28</v>
      </c>
      <c r="B31" s="99">
        <f>SSQ_Intermediate!B31+SSQ_Intermediate!G31+SSQ_Intermediate!H31+SSQ_Intermediate!I31+SSQ_Intermediate!J31+SSQ_Intermediate!P31+SSQ_Intermediate!Q31</f>
        <v>2</v>
      </c>
      <c r="C31" s="100">
        <f>IF(AND(SSQ_Intermediate!R31="",SSQ_Intermediate!W31="",SSQ_Intermediate!X31="",SSQ_Intermediate!Y31="",SSQ_Intermediate!Z31="",SSQ_Intermediate!AF31="",SSQ_Intermediate!AG31=""),"",SUM(SSQ_Intermediate!R31,SSQ_Intermediate!W31,SSQ_Intermediate!X31,SSQ_Intermediate!Y31,SSQ_Intermediate!Z31,SSQ_Intermediate!AF31,SSQ_Intermediate!AG31))</f>
        <v>2</v>
      </c>
      <c r="D31" s="100">
        <f>B31*'SSQ Metadata'!$B$12</f>
        <v>19.079999999999998</v>
      </c>
      <c r="E31" s="22">
        <f>IF(C31="","",C31*'SSQ Metadata'!$B$12)</f>
        <v>19.079999999999998</v>
      </c>
      <c r="F31" s="20">
        <f>SSQ_Intermediate!B31+SSQ_Intermediate!C31+SSQ_Intermediate!D31+SSQ_Intermediate!E31+SSQ_Intermediate!F31+SSQ_Intermediate!J31+SSQ_Intermediate!L31</f>
        <v>3</v>
      </c>
      <c r="G31" s="101">
        <f>IF(AND(SSQ_Intermediate!R31="",SSQ_Intermediate!S31="",SSQ_Intermediate!T31="",SSQ_Intermediate!U31="",SSQ_Intermediate!V31="",SSQ_Intermediate!Z31="",SSQ_Intermediate!AB31=""),"",SUM(SSQ_Intermediate!R31,SSQ_Intermediate!S31,SSQ_Intermediate!T31,SSQ_Intermediate!U31,SSQ_Intermediate!V31,SSQ_Intermediate!Z31,SSQ_Intermediate!AB31))</f>
        <v>2</v>
      </c>
      <c r="H31" s="101">
        <f>F31*'SSQ Metadata'!$B$13</f>
        <v>22.740000000000002</v>
      </c>
      <c r="I31" s="21">
        <f>IF(G31="","",G31*'SSQ Metadata'!$B$13)</f>
        <v>15.16</v>
      </c>
      <c r="J31" s="18">
        <f>SSQ_Intermediate!F31+SSQ_Intermediate!I31+SSQ_Intermediate!K31+SSQ_Intermediate!L31+SSQ_Intermediate!M31+SSQ_Intermediate!N31+SSQ_Intermediate!O31</f>
        <v>0</v>
      </c>
      <c r="K31" s="102">
        <f>IF(AND(SSQ_Intermediate!V31="",SSQ_Intermediate!Y31="",SSQ_Intermediate!AA31="",SSQ_Intermediate!AB31="",SSQ_Intermediate!AC31="",SSQ_Intermediate!AD31="",SSQ_Intermediate!AE31=""),"",SUM(SSQ_Intermediate!V31,SSQ_Intermediate!Y31,SSQ_Intermediate!AA31,SSQ_Intermediate!AB31,SSQ_Intermediate!AC31,SSQ_Intermediate!AD31,SSQ_Intermediate!AE31))</f>
        <v>0</v>
      </c>
      <c r="L31" s="102">
        <f>J31*'SSQ Metadata'!$B$14</f>
        <v>0</v>
      </c>
      <c r="M31" s="19">
        <f>IF(K31="","",K31*'SSQ Metadata'!$B$14)</f>
        <v>0</v>
      </c>
      <c r="N31" s="16">
        <f>(B31+F31+J31)*'SSQ Metadata'!$B$15</f>
        <v>18.700000000000003</v>
      </c>
      <c r="O31" s="17">
        <f>IF(AND(C31="",G31="",K31=""),"",(C31+G31+K31)*'SSQ Metadata'!$B$15)</f>
        <v>14.96</v>
      </c>
      <c r="P31" s="15">
        <f t="shared" si="0"/>
        <v>0</v>
      </c>
      <c r="Q31" s="103">
        <f t="shared" si="1"/>
        <v>-7.5800000000000018</v>
      </c>
      <c r="R31" s="103">
        <f t="shared" si="2"/>
        <v>0</v>
      </c>
      <c r="S31" s="104">
        <f t="shared" si="3"/>
        <v>-3.740000000000002</v>
      </c>
    </row>
    <row r="32" spans="1:19" x14ac:dyDescent="0.2">
      <c r="A32" s="70">
        <v>29</v>
      </c>
      <c r="B32" s="99">
        <f>SSQ_Intermediate!B32+SSQ_Intermediate!G32+SSQ_Intermediate!H32+SSQ_Intermediate!I32+SSQ_Intermediate!J32+SSQ_Intermediate!P32+SSQ_Intermediate!Q32</f>
        <v>6</v>
      </c>
      <c r="C32" s="100">
        <f>IF(AND(SSQ_Intermediate!R32="",SSQ_Intermediate!W32="",SSQ_Intermediate!X32="",SSQ_Intermediate!Y32="",SSQ_Intermediate!Z32="",SSQ_Intermediate!AF32="",SSQ_Intermediate!AG32=""),"",SUM(SSQ_Intermediate!R32,SSQ_Intermediate!W32,SSQ_Intermediate!X32,SSQ_Intermediate!Y32,SSQ_Intermediate!Z32,SSQ_Intermediate!AF32,SSQ_Intermediate!AG32))</f>
        <v>2</v>
      </c>
      <c r="D32" s="100">
        <f>B32*'SSQ Metadata'!$B$12</f>
        <v>57.239999999999995</v>
      </c>
      <c r="E32" s="22">
        <f>IF(C32="","",C32*'SSQ Metadata'!$B$12)</f>
        <v>19.079999999999998</v>
      </c>
      <c r="F32" s="20">
        <f>SSQ_Intermediate!B32+SSQ_Intermediate!C32+SSQ_Intermediate!D32+SSQ_Intermediate!E32+SSQ_Intermediate!F32+SSQ_Intermediate!J32+SSQ_Intermediate!L32</f>
        <v>7</v>
      </c>
      <c r="G32" s="101">
        <f>IF(AND(SSQ_Intermediate!R32="",SSQ_Intermediate!S32="",SSQ_Intermediate!T32="",SSQ_Intermediate!U32="",SSQ_Intermediate!V32="",SSQ_Intermediate!Z32="",SSQ_Intermediate!AB32=""),"",SUM(SSQ_Intermediate!R32,SSQ_Intermediate!S32,SSQ_Intermediate!T32,SSQ_Intermediate!U32,SSQ_Intermediate!V32,SSQ_Intermediate!Z32,SSQ_Intermediate!AB32))</f>
        <v>9</v>
      </c>
      <c r="H32" s="101">
        <f>F32*'SSQ Metadata'!$B$13</f>
        <v>53.06</v>
      </c>
      <c r="I32" s="21">
        <f>IF(G32="","",G32*'SSQ Metadata'!$B$13)</f>
        <v>68.22</v>
      </c>
      <c r="J32" s="18">
        <f>SSQ_Intermediate!F32+SSQ_Intermediate!I32+SSQ_Intermediate!K32+SSQ_Intermediate!L32+SSQ_Intermediate!M32+SSQ_Intermediate!N32+SSQ_Intermediate!O32</f>
        <v>0</v>
      </c>
      <c r="K32" s="102">
        <f>IF(AND(SSQ_Intermediate!V32="",SSQ_Intermediate!Y32="",SSQ_Intermediate!AA32="",SSQ_Intermediate!AB32="",SSQ_Intermediate!AC32="",SSQ_Intermediate!AD32="",SSQ_Intermediate!AE32=""),"",SUM(SSQ_Intermediate!V32,SSQ_Intermediate!Y32,SSQ_Intermediate!AA32,SSQ_Intermediate!AB32,SSQ_Intermediate!AC32,SSQ_Intermediate!AD32,SSQ_Intermediate!AE32))</f>
        <v>4</v>
      </c>
      <c r="L32" s="102">
        <f>J32*'SSQ Metadata'!$B$14</f>
        <v>0</v>
      </c>
      <c r="M32" s="19">
        <f>IF(K32="","",K32*'SSQ Metadata'!$B$14)</f>
        <v>55.68</v>
      </c>
      <c r="N32" s="16">
        <f>(B32+F32+J32)*'SSQ Metadata'!$B$15</f>
        <v>48.620000000000005</v>
      </c>
      <c r="O32" s="17">
        <f>IF(AND(C32="",G32="",K32=""),"",(C32+G32+K32)*'SSQ Metadata'!$B$15)</f>
        <v>56.1</v>
      </c>
      <c r="P32" s="15">
        <f t="shared" si="0"/>
        <v>-38.159999999999997</v>
      </c>
      <c r="Q32" s="103">
        <f t="shared" si="1"/>
        <v>15.159999999999997</v>
      </c>
      <c r="R32" s="103">
        <f t="shared" si="2"/>
        <v>55.68</v>
      </c>
      <c r="S32" s="104">
        <f t="shared" si="3"/>
        <v>7.4799999999999969</v>
      </c>
    </row>
    <row r="33" spans="1:19" x14ac:dyDescent="0.2">
      <c r="A33" s="70">
        <v>30</v>
      </c>
      <c r="B33" s="99">
        <f>SSQ_Intermediate!B33+SSQ_Intermediate!G33+SSQ_Intermediate!H33+SSQ_Intermediate!I33+SSQ_Intermediate!J33+SSQ_Intermediate!P33+SSQ_Intermediate!Q33</f>
        <v>0</v>
      </c>
      <c r="C33" s="100">
        <f>IF(AND(SSQ_Intermediate!R33="",SSQ_Intermediate!W33="",SSQ_Intermediate!X33="",SSQ_Intermediate!Y33="",SSQ_Intermediate!Z33="",SSQ_Intermediate!AF33="",SSQ_Intermediate!AG33=""),"",SUM(SSQ_Intermediate!R33,SSQ_Intermediate!W33,SSQ_Intermediate!X33,SSQ_Intermediate!Y33,SSQ_Intermediate!Z33,SSQ_Intermediate!AF33,SSQ_Intermediate!AG33))</f>
        <v>2</v>
      </c>
      <c r="D33" s="100">
        <f>B33*'SSQ Metadata'!$B$12</f>
        <v>0</v>
      </c>
      <c r="E33" s="22">
        <f>IF(C33="","",C33*'SSQ Metadata'!$B$12)</f>
        <v>19.079999999999998</v>
      </c>
      <c r="F33" s="20">
        <f>SSQ_Intermediate!B33+SSQ_Intermediate!C33+SSQ_Intermediate!D33+SSQ_Intermediate!E33+SSQ_Intermediate!F33+SSQ_Intermediate!J33+SSQ_Intermediate!L33</f>
        <v>1</v>
      </c>
      <c r="G33" s="101">
        <f>IF(AND(SSQ_Intermediate!R33="",SSQ_Intermediate!S33="",SSQ_Intermediate!T33="",SSQ_Intermediate!U33="",SSQ_Intermediate!V33="",SSQ_Intermediate!Z33="",SSQ_Intermediate!AB33=""),"",SUM(SSQ_Intermediate!R33,SSQ_Intermediate!S33,SSQ_Intermediate!T33,SSQ_Intermediate!U33,SSQ_Intermediate!V33,SSQ_Intermediate!Z33,SSQ_Intermediate!AB33))</f>
        <v>8</v>
      </c>
      <c r="H33" s="101">
        <f>F33*'SSQ Metadata'!$B$13</f>
        <v>7.58</v>
      </c>
      <c r="I33" s="21">
        <f>IF(G33="","",G33*'SSQ Metadata'!$B$13)</f>
        <v>60.64</v>
      </c>
      <c r="J33" s="18">
        <f>SSQ_Intermediate!F33+SSQ_Intermediate!I33+SSQ_Intermediate!K33+SSQ_Intermediate!L33+SSQ_Intermediate!M33+SSQ_Intermediate!N33+SSQ_Intermediate!O33</f>
        <v>0</v>
      </c>
      <c r="K33" s="102">
        <f>IF(AND(SSQ_Intermediate!V33="",SSQ_Intermediate!Y33="",SSQ_Intermediate!AA33="",SSQ_Intermediate!AB33="",SSQ_Intermediate!AC33="",SSQ_Intermediate!AD33="",SSQ_Intermediate!AE33=""),"",SUM(SSQ_Intermediate!V33,SSQ_Intermediate!Y33,SSQ_Intermediate!AA33,SSQ_Intermediate!AB33,SSQ_Intermediate!AC33,SSQ_Intermediate!AD33,SSQ_Intermediate!AE33))</f>
        <v>2</v>
      </c>
      <c r="L33" s="102">
        <f>J33*'SSQ Metadata'!$B$14</f>
        <v>0</v>
      </c>
      <c r="M33" s="19">
        <f>IF(K33="","",K33*'SSQ Metadata'!$B$14)</f>
        <v>27.84</v>
      </c>
      <c r="N33" s="16">
        <f>(B33+F33+J33)*'SSQ Metadata'!$B$15</f>
        <v>3.74</v>
      </c>
      <c r="O33" s="17">
        <f>IF(AND(C33="",G33="",K33=""),"",(C33+G33+K33)*'SSQ Metadata'!$B$15)</f>
        <v>44.88</v>
      </c>
      <c r="P33" s="15">
        <f t="shared" si="0"/>
        <v>19.079999999999998</v>
      </c>
      <c r="Q33" s="103">
        <f t="shared" si="1"/>
        <v>53.06</v>
      </c>
      <c r="R33" s="103">
        <f t="shared" si="2"/>
        <v>27.84</v>
      </c>
      <c r="S33" s="104">
        <f t="shared" si="3"/>
        <v>41.14</v>
      </c>
    </row>
    <row r="34" spans="1:19" x14ac:dyDescent="0.2">
      <c r="A34" s="70">
        <v>31</v>
      </c>
      <c r="B34" s="99">
        <f>SSQ_Intermediate!B34+SSQ_Intermediate!G34+SSQ_Intermediate!H34+SSQ_Intermediate!I34+SSQ_Intermediate!J34+SSQ_Intermediate!P34+SSQ_Intermediate!Q34</f>
        <v>0</v>
      </c>
      <c r="C34" s="100">
        <f>IF(AND(SSQ_Intermediate!R34="",SSQ_Intermediate!W34="",SSQ_Intermediate!X34="",SSQ_Intermediate!Y34="",SSQ_Intermediate!Z34="",SSQ_Intermediate!AF34="",SSQ_Intermediate!AG34=""),"",SUM(SSQ_Intermediate!R34,SSQ_Intermediate!W34,SSQ_Intermediate!X34,SSQ_Intermediate!Y34,SSQ_Intermediate!Z34,SSQ_Intermediate!AF34,SSQ_Intermediate!AG34))</f>
        <v>4</v>
      </c>
      <c r="D34" s="100">
        <f>B34*'SSQ Metadata'!$B$12</f>
        <v>0</v>
      </c>
      <c r="E34" s="22">
        <f>IF(C34="","",C34*'SSQ Metadata'!$B$12)</f>
        <v>38.159999999999997</v>
      </c>
      <c r="F34" s="20">
        <f>SSQ_Intermediate!B34+SSQ_Intermediate!C34+SSQ_Intermediate!D34+SSQ_Intermediate!E34+SSQ_Intermediate!F34+SSQ_Intermediate!J34+SSQ_Intermediate!L34</f>
        <v>0</v>
      </c>
      <c r="G34" s="101">
        <f>IF(AND(SSQ_Intermediate!R34="",SSQ_Intermediate!S34="",SSQ_Intermediate!T34="",SSQ_Intermediate!U34="",SSQ_Intermediate!V34="",SSQ_Intermediate!Z34="",SSQ_Intermediate!AB34=""),"",SUM(SSQ_Intermediate!R34,SSQ_Intermediate!S34,SSQ_Intermediate!T34,SSQ_Intermediate!U34,SSQ_Intermediate!V34,SSQ_Intermediate!Z34,SSQ_Intermediate!AB34))</f>
        <v>9</v>
      </c>
      <c r="H34" s="101">
        <f>F34*'SSQ Metadata'!$B$13</f>
        <v>0</v>
      </c>
      <c r="I34" s="21">
        <f>IF(G34="","",G34*'SSQ Metadata'!$B$13)</f>
        <v>68.22</v>
      </c>
      <c r="J34" s="18">
        <f>SSQ_Intermediate!F34+SSQ_Intermediate!I34+SSQ_Intermediate!K34+SSQ_Intermediate!L34+SSQ_Intermediate!M34+SSQ_Intermediate!N34+SSQ_Intermediate!O34</f>
        <v>0</v>
      </c>
      <c r="K34" s="102">
        <f>IF(AND(SSQ_Intermediate!V34="",SSQ_Intermediate!Y34="",SSQ_Intermediate!AA34="",SSQ_Intermediate!AB34="",SSQ_Intermediate!AC34="",SSQ_Intermediate!AD34="",SSQ_Intermediate!AE34=""),"",SUM(SSQ_Intermediate!V34,SSQ_Intermediate!Y34,SSQ_Intermediate!AA34,SSQ_Intermediate!AB34,SSQ_Intermediate!AC34,SSQ_Intermediate!AD34,SSQ_Intermediate!AE34))</f>
        <v>2</v>
      </c>
      <c r="L34" s="102">
        <f>J34*'SSQ Metadata'!$B$14</f>
        <v>0</v>
      </c>
      <c r="M34" s="19">
        <f>IF(K34="","",K34*'SSQ Metadata'!$B$14)</f>
        <v>27.84</v>
      </c>
      <c r="N34" s="16">
        <f>(B34+F34+J34)*'SSQ Metadata'!$B$15</f>
        <v>0</v>
      </c>
      <c r="O34" s="17">
        <f>IF(AND(C34="",G34="",K34=""),"",(C34+G34+K34)*'SSQ Metadata'!$B$15)</f>
        <v>56.1</v>
      </c>
      <c r="P34" s="15">
        <f t="shared" si="0"/>
        <v>38.159999999999997</v>
      </c>
      <c r="Q34" s="103">
        <f t="shared" si="1"/>
        <v>68.22</v>
      </c>
      <c r="R34" s="103">
        <f t="shared" si="2"/>
        <v>27.84</v>
      </c>
      <c r="S34" s="104">
        <f t="shared" si="3"/>
        <v>56.1</v>
      </c>
    </row>
    <row r="35" spans="1:19" x14ac:dyDescent="0.2">
      <c r="A35" s="70">
        <v>32</v>
      </c>
      <c r="B35" s="99">
        <f>SSQ_Intermediate!B35+SSQ_Intermediate!G35+SSQ_Intermediate!H35+SSQ_Intermediate!I35+SSQ_Intermediate!J35+SSQ_Intermediate!P35+SSQ_Intermediate!Q35</f>
        <v>1</v>
      </c>
      <c r="C35" s="100">
        <f>IF(AND(SSQ_Intermediate!R35="",SSQ_Intermediate!W35="",SSQ_Intermediate!X35="",SSQ_Intermediate!Y35="",SSQ_Intermediate!Z35="",SSQ_Intermediate!AF35="",SSQ_Intermediate!AG35=""),"",SUM(SSQ_Intermediate!R35,SSQ_Intermediate!W35,SSQ_Intermediate!X35,SSQ_Intermediate!Y35,SSQ_Intermediate!Z35,SSQ_Intermediate!AF35,SSQ_Intermediate!AG35))</f>
        <v>3</v>
      </c>
      <c r="D35" s="100">
        <f>B35*'SSQ Metadata'!$B$12</f>
        <v>9.5399999999999991</v>
      </c>
      <c r="E35" s="22">
        <f>IF(C35="","",C35*'SSQ Metadata'!$B$12)</f>
        <v>28.619999999999997</v>
      </c>
      <c r="F35" s="20">
        <f>SSQ_Intermediate!B35+SSQ_Intermediate!C35+SSQ_Intermediate!D35+SSQ_Intermediate!E35+SSQ_Intermediate!F35+SSQ_Intermediate!J35+SSQ_Intermediate!L35</f>
        <v>2</v>
      </c>
      <c r="G35" s="101">
        <f>IF(AND(SSQ_Intermediate!R35="",SSQ_Intermediate!S35="",SSQ_Intermediate!T35="",SSQ_Intermediate!U35="",SSQ_Intermediate!V35="",SSQ_Intermediate!Z35="",SSQ_Intermediate!AB35=""),"",SUM(SSQ_Intermediate!R35,SSQ_Intermediate!S35,SSQ_Intermediate!T35,SSQ_Intermediate!U35,SSQ_Intermediate!V35,SSQ_Intermediate!Z35,SSQ_Intermediate!AB35))</f>
        <v>6</v>
      </c>
      <c r="H35" s="101">
        <f>F35*'SSQ Metadata'!$B$13</f>
        <v>15.16</v>
      </c>
      <c r="I35" s="21">
        <f>IF(G35="","",G35*'SSQ Metadata'!$B$13)</f>
        <v>45.480000000000004</v>
      </c>
      <c r="J35" s="18">
        <f>SSQ_Intermediate!F35+SSQ_Intermediate!I35+SSQ_Intermediate!K35+SSQ_Intermediate!L35+SSQ_Intermediate!M35+SSQ_Intermediate!N35+SSQ_Intermediate!O35</f>
        <v>0</v>
      </c>
      <c r="K35" s="102">
        <f>IF(AND(SSQ_Intermediate!V35="",SSQ_Intermediate!Y35="",SSQ_Intermediate!AA35="",SSQ_Intermediate!AB35="",SSQ_Intermediate!AC35="",SSQ_Intermediate!AD35="",SSQ_Intermediate!AE35=""),"",SUM(SSQ_Intermediate!V35,SSQ_Intermediate!Y35,SSQ_Intermediate!AA35,SSQ_Intermediate!AB35,SSQ_Intermediate!AC35,SSQ_Intermediate!AD35,SSQ_Intermediate!AE35))</f>
        <v>1</v>
      </c>
      <c r="L35" s="102">
        <f>J35*'SSQ Metadata'!$B$14</f>
        <v>0</v>
      </c>
      <c r="M35" s="19">
        <f>IF(K35="","",K35*'SSQ Metadata'!$B$14)</f>
        <v>13.92</v>
      </c>
      <c r="N35" s="16">
        <f>(B35+F35+J35)*'SSQ Metadata'!$B$15</f>
        <v>11.22</v>
      </c>
      <c r="O35" s="17">
        <f>IF(AND(C35="",G35="",K35=""),"",(C35+G35+K35)*'SSQ Metadata'!$B$15)</f>
        <v>37.400000000000006</v>
      </c>
      <c r="P35" s="15">
        <f t="shared" si="0"/>
        <v>19.079999999999998</v>
      </c>
      <c r="Q35" s="103">
        <f t="shared" si="1"/>
        <v>30.320000000000004</v>
      </c>
      <c r="R35" s="103">
        <f t="shared" si="2"/>
        <v>13.92</v>
      </c>
      <c r="S35" s="104">
        <f t="shared" si="3"/>
        <v>26.180000000000007</v>
      </c>
    </row>
    <row r="36" spans="1:19" x14ac:dyDescent="0.2">
      <c r="A36" s="70">
        <v>33</v>
      </c>
      <c r="B36" s="99">
        <f>SSQ_Intermediate!B36+SSQ_Intermediate!G36+SSQ_Intermediate!H36+SSQ_Intermediate!I36+SSQ_Intermediate!J36+SSQ_Intermediate!P36+SSQ_Intermediate!Q36</f>
        <v>1</v>
      </c>
      <c r="C36" s="100">
        <f>IF(AND(SSQ_Intermediate!R36="",SSQ_Intermediate!W36="",SSQ_Intermediate!X36="",SSQ_Intermediate!Y36="",SSQ_Intermediate!Z36="",SSQ_Intermediate!AF36="",SSQ_Intermediate!AG36=""),"",SUM(SSQ_Intermediate!R36,SSQ_Intermediate!W36,SSQ_Intermediate!X36,SSQ_Intermediate!Y36,SSQ_Intermediate!Z36,SSQ_Intermediate!AF36,SSQ_Intermediate!AG36))</f>
        <v>0</v>
      </c>
      <c r="D36" s="100">
        <f>B36*'SSQ Metadata'!$B$12</f>
        <v>9.5399999999999991</v>
      </c>
      <c r="E36" s="22">
        <f>IF(C36="","",C36*'SSQ Metadata'!$B$12)</f>
        <v>0</v>
      </c>
      <c r="F36" s="20">
        <f>SSQ_Intermediate!B36+SSQ_Intermediate!C36+SSQ_Intermediate!D36+SSQ_Intermediate!E36+SSQ_Intermediate!F36+SSQ_Intermediate!J36+SSQ_Intermediate!L36</f>
        <v>3</v>
      </c>
      <c r="G36" s="101">
        <f>IF(AND(SSQ_Intermediate!R36="",SSQ_Intermediate!S36="",SSQ_Intermediate!T36="",SSQ_Intermediate!U36="",SSQ_Intermediate!V36="",SSQ_Intermediate!Z36="",SSQ_Intermediate!AB36=""),"",SUM(SSQ_Intermediate!R36,SSQ_Intermediate!S36,SSQ_Intermediate!T36,SSQ_Intermediate!U36,SSQ_Intermediate!V36,SSQ_Intermediate!Z36,SSQ_Intermediate!AB36))</f>
        <v>3</v>
      </c>
      <c r="H36" s="101">
        <f>F36*'SSQ Metadata'!$B$13</f>
        <v>22.740000000000002</v>
      </c>
      <c r="I36" s="21">
        <f>IF(G36="","",G36*'SSQ Metadata'!$B$13)</f>
        <v>22.740000000000002</v>
      </c>
      <c r="J36" s="18">
        <f>SSQ_Intermediate!F36+SSQ_Intermediate!I36+SSQ_Intermediate!K36+SSQ_Intermediate!L36+SSQ_Intermediate!M36+SSQ_Intermediate!N36+SSQ_Intermediate!O36</f>
        <v>0</v>
      </c>
      <c r="K36" s="102">
        <f>IF(AND(SSQ_Intermediate!V36="",SSQ_Intermediate!Y36="",SSQ_Intermediate!AA36="",SSQ_Intermediate!AB36="",SSQ_Intermediate!AC36="",SSQ_Intermediate!AD36="",SSQ_Intermediate!AE36=""),"",SUM(SSQ_Intermediate!V36,SSQ_Intermediate!Y36,SSQ_Intermediate!AA36,SSQ_Intermediate!AB36,SSQ_Intermediate!AC36,SSQ_Intermediate!AD36,SSQ_Intermediate!AE36))</f>
        <v>2</v>
      </c>
      <c r="L36" s="102">
        <f>J36*'SSQ Metadata'!$B$14</f>
        <v>0</v>
      </c>
      <c r="M36" s="19">
        <f>IF(K36="","",K36*'SSQ Metadata'!$B$14)</f>
        <v>27.84</v>
      </c>
      <c r="N36" s="16">
        <f>(B36+F36+J36)*'SSQ Metadata'!$B$15</f>
        <v>14.96</v>
      </c>
      <c r="O36" s="17">
        <f>IF(AND(C36="",G36="",K36=""),"",(C36+G36+K36)*'SSQ Metadata'!$B$15)</f>
        <v>18.700000000000003</v>
      </c>
      <c r="P36" s="15">
        <f t="shared" si="0"/>
        <v>-9.5399999999999991</v>
      </c>
      <c r="Q36" s="103">
        <f t="shared" si="1"/>
        <v>0</v>
      </c>
      <c r="R36" s="103">
        <f t="shared" si="2"/>
        <v>27.84</v>
      </c>
      <c r="S36" s="104">
        <f t="shared" si="3"/>
        <v>3.740000000000002</v>
      </c>
    </row>
    <row r="37" spans="1:19" x14ac:dyDescent="0.2">
      <c r="A37" s="70">
        <v>34</v>
      </c>
      <c r="B37" s="99">
        <f>SSQ_Intermediate!B37+SSQ_Intermediate!G37+SSQ_Intermediate!H37+SSQ_Intermediate!I37+SSQ_Intermediate!J37+SSQ_Intermediate!P37+SSQ_Intermediate!Q37</f>
        <v>4</v>
      </c>
      <c r="C37" s="100">
        <f>IF(AND(SSQ_Intermediate!R37="",SSQ_Intermediate!W37="",SSQ_Intermediate!X37="",SSQ_Intermediate!Y37="",SSQ_Intermediate!Z37="",SSQ_Intermediate!AF37="",SSQ_Intermediate!AG37=""),"",SUM(SSQ_Intermediate!R37,SSQ_Intermediate!W37,SSQ_Intermediate!X37,SSQ_Intermediate!Y37,SSQ_Intermediate!Z37,SSQ_Intermediate!AF37,SSQ_Intermediate!AG37))</f>
        <v>2</v>
      </c>
      <c r="D37" s="100">
        <f>B37*'SSQ Metadata'!$B$12</f>
        <v>38.159999999999997</v>
      </c>
      <c r="E37" s="22">
        <f>IF(C37="","",C37*'SSQ Metadata'!$B$12)</f>
        <v>19.079999999999998</v>
      </c>
      <c r="F37" s="20">
        <f>SSQ_Intermediate!B37+SSQ_Intermediate!C37+SSQ_Intermediate!D37+SSQ_Intermediate!E37+SSQ_Intermediate!F37+SSQ_Intermediate!J37+SSQ_Intermediate!L37</f>
        <v>3</v>
      </c>
      <c r="G37" s="101">
        <f>IF(AND(SSQ_Intermediate!R37="",SSQ_Intermediate!S37="",SSQ_Intermediate!T37="",SSQ_Intermediate!U37="",SSQ_Intermediate!V37="",SSQ_Intermediate!Z37="",SSQ_Intermediate!AB37=""),"",SUM(SSQ_Intermediate!R37,SSQ_Intermediate!S37,SSQ_Intermediate!T37,SSQ_Intermediate!U37,SSQ_Intermediate!V37,SSQ_Intermediate!Z37,SSQ_Intermediate!AB37))</f>
        <v>1</v>
      </c>
      <c r="H37" s="101">
        <f>F37*'SSQ Metadata'!$B$13</f>
        <v>22.740000000000002</v>
      </c>
      <c r="I37" s="21">
        <f>IF(G37="","",G37*'SSQ Metadata'!$B$13)</f>
        <v>7.58</v>
      </c>
      <c r="J37" s="18">
        <f>SSQ_Intermediate!F37+SSQ_Intermediate!I37+SSQ_Intermediate!K37+SSQ_Intermediate!L37+SSQ_Intermediate!M37+SSQ_Intermediate!N37+SSQ_Intermediate!O37</f>
        <v>1</v>
      </c>
      <c r="K37" s="102">
        <f>IF(AND(SSQ_Intermediate!V37="",SSQ_Intermediate!Y37="",SSQ_Intermediate!AA37="",SSQ_Intermediate!AB37="",SSQ_Intermediate!AC37="",SSQ_Intermediate!AD37="",SSQ_Intermediate!AE37=""),"",SUM(SSQ_Intermediate!V37,SSQ_Intermediate!Y37,SSQ_Intermediate!AA37,SSQ_Intermediate!AB37,SSQ_Intermediate!AC37,SSQ_Intermediate!AD37,SSQ_Intermediate!AE37))</f>
        <v>0</v>
      </c>
      <c r="L37" s="102">
        <f>J37*'SSQ Metadata'!$B$14</f>
        <v>13.92</v>
      </c>
      <c r="M37" s="19">
        <f>IF(K37="","",K37*'SSQ Metadata'!$B$14)</f>
        <v>0</v>
      </c>
      <c r="N37" s="16">
        <f>(B37+F37+J37)*'SSQ Metadata'!$B$15</f>
        <v>29.92</v>
      </c>
      <c r="O37" s="17">
        <f>IF(AND(C37="",G37="",K37=""),"",(C37+G37+K37)*'SSQ Metadata'!$B$15)</f>
        <v>11.22</v>
      </c>
      <c r="P37" s="15">
        <f t="shared" si="0"/>
        <v>-19.079999999999998</v>
      </c>
      <c r="Q37" s="103">
        <f t="shared" si="1"/>
        <v>-15.160000000000002</v>
      </c>
      <c r="R37" s="103">
        <f t="shared" si="2"/>
        <v>-13.92</v>
      </c>
      <c r="S37" s="104">
        <f t="shared" si="3"/>
        <v>-18.700000000000003</v>
      </c>
    </row>
    <row r="38" spans="1:19" x14ac:dyDescent="0.2">
      <c r="A38" s="70">
        <v>35</v>
      </c>
      <c r="B38" s="99">
        <f>SSQ_Intermediate!B38+SSQ_Intermediate!G38+SSQ_Intermediate!H38+SSQ_Intermediate!I38+SSQ_Intermediate!J38+SSQ_Intermediate!P38+SSQ_Intermediate!Q38</f>
        <v>0</v>
      </c>
      <c r="C38" s="100">
        <f>IF(AND(SSQ_Intermediate!R38="",SSQ_Intermediate!W38="",SSQ_Intermediate!X38="",SSQ_Intermediate!Y38="",SSQ_Intermediate!Z38="",SSQ_Intermediate!AF38="",SSQ_Intermediate!AG38=""),"",SUM(SSQ_Intermediate!R38,SSQ_Intermediate!W38,SSQ_Intermediate!X38,SSQ_Intermediate!Y38,SSQ_Intermediate!Z38,SSQ_Intermediate!AF38,SSQ_Intermediate!AG38))</f>
        <v>3</v>
      </c>
      <c r="D38" s="100">
        <f>B38*'SSQ Metadata'!$B$12</f>
        <v>0</v>
      </c>
      <c r="E38" s="22">
        <f>IF(C38="","",C38*'SSQ Metadata'!$B$12)</f>
        <v>28.619999999999997</v>
      </c>
      <c r="F38" s="20">
        <f>SSQ_Intermediate!B38+SSQ_Intermediate!C38+SSQ_Intermediate!D38+SSQ_Intermediate!E38+SSQ_Intermediate!F38+SSQ_Intermediate!J38+SSQ_Intermediate!L38</f>
        <v>3</v>
      </c>
      <c r="G38" s="101">
        <f>IF(AND(SSQ_Intermediate!R38="",SSQ_Intermediate!S38="",SSQ_Intermediate!T38="",SSQ_Intermediate!U38="",SSQ_Intermediate!V38="",SSQ_Intermediate!Z38="",SSQ_Intermediate!AB38=""),"",SUM(SSQ_Intermediate!R38,SSQ_Intermediate!S38,SSQ_Intermediate!T38,SSQ_Intermediate!U38,SSQ_Intermediate!V38,SSQ_Intermediate!Z38,SSQ_Intermediate!AB38))</f>
        <v>8</v>
      </c>
      <c r="H38" s="101">
        <f>F38*'SSQ Metadata'!$B$13</f>
        <v>22.740000000000002</v>
      </c>
      <c r="I38" s="21">
        <f>IF(G38="","",G38*'SSQ Metadata'!$B$13)</f>
        <v>60.64</v>
      </c>
      <c r="J38" s="18">
        <f>SSQ_Intermediate!F38+SSQ_Intermediate!I38+SSQ_Intermediate!K38+SSQ_Intermediate!L38+SSQ_Intermediate!M38+SSQ_Intermediate!N38+SSQ_Intermediate!O38</f>
        <v>1</v>
      </c>
      <c r="K38" s="102">
        <f>IF(AND(SSQ_Intermediate!V38="",SSQ_Intermediate!Y38="",SSQ_Intermediate!AA38="",SSQ_Intermediate!AB38="",SSQ_Intermediate!AC38="",SSQ_Intermediate!AD38="",SSQ_Intermediate!AE38=""),"",SUM(SSQ_Intermediate!V38,SSQ_Intermediate!Y38,SSQ_Intermediate!AA38,SSQ_Intermediate!AB38,SSQ_Intermediate!AC38,SSQ_Intermediate!AD38,SSQ_Intermediate!AE38))</f>
        <v>3</v>
      </c>
      <c r="L38" s="102">
        <f>J38*'SSQ Metadata'!$B$14</f>
        <v>13.92</v>
      </c>
      <c r="M38" s="19">
        <f>IF(K38="","",K38*'SSQ Metadata'!$B$14)</f>
        <v>41.76</v>
      </c>
      <c r="N38" s="16">
        <f>(B38+F38+J38)*'SSQ Metadata'!$B$15</f>
        <v>14.96</v>
      </c>
      <c r="O38" s="17">
        <f>IF(AND(C38="",G38="",K38=""),"",(C38+G38+K38)*'SSQ Metadata'!$B$15)</f>
        <v>52.36</v>
      </c>
      <c r="P38" s="15">
        <f t="shared" si="0"/>
        <v>28.619999999999997</v>
      </c>
      <c r="Q38" s="103">
        <f t="shared" si="1"/>
        <v>37.9</v>
      </c>
      <c r="R38" s="103">
        <f t="shared" si="2"/>
        <v>27.839999999999996</v>
      </c>
      <c r="S38" s="104">
        <f t="shared" si="3"/>
        <v>37.4</v>
      </c>
    </row>
    <row r="39" spans="1:19" x14ac:dyDescent="0.2">
      <c r="A39" s="70">
        <v>36</v>
      </c>
      <c r="B39" s="99">
        <f>SSQ_Intermediate!B39+SSQ_Intermediate!G39+SSQ_Intermediate!H39+SSQ_Intermediate!I39+SSQ_Intermediate!J39+SSQ_Intermediate!P39+SSQ_Intermediate!Q39</f>
        <v>2</v>
      </c>
      <c r="C39" s="100">
        <f>IF(AND(SSQ_Intermediate!R39="",SSQ_Intermediate!W39="",SSQ_Intermediate!X39="",SSQ_Intermediate!Y39="",SSQ_Intermediate!Z39="",SSQ_Intermediate!AF39="",SSQ_Intermediate!AG39=""),"",SUM(SSQ_Intermediate!R39,SSQ_Intermediate!W39,SSQ_Intermediate!X39,SSQ_Intermediate!Y39,SSQ_Intermediate!Z39,SSQ_Intermediate!AF39,SSQ_Intermediate!AG39))</f>
        <v>1</v>
      </c>
      <c r="D39" s="100">
        <f>B39*'SSQ Metadata'!$B$12</f>
        <v>19.079999999999998</v>
      </c>
      <c r="E39" s="22">
        <f>IF(C39="","",C39*'SSQ Metadata'!$B$12)</f>
        <v>9.5399999999999991</v>
      </c>
      <c r="F39" s="20">
        <f>SSQ_Intermediate!B39+SSQ_Intermediate!C39+SSQ_Intermediate!D39+SSQ_Intermediate!E39+SSQ_Intermediate!F39+SSQ_Intermediate!J39+SSQ_Intermediate!L39</f>
        <v>3</v>
      </c>
      <c r="G39" s="101">
        <f>IF(AND(SSQ_Intermediate!R39="",SSQ_Intermediate!S39="",SSQ_Intermediate!T39="",SSQ_Intermediate!U39="",SSQ_Intermediate!V39="",SSQ_Intermediate!Z39="",SSQ_Intermediate!AB39=""),"",SUM(SSQ_Intermediate!R39,SSQ_Intermediate!S39,SSQ_Intermediate!T39,SSQ_Intermediate!U39,SSQ_Intermediate!V39,SSQ_Intermediate!Z39,SSQ_Intermediate!AB39))</f>
        <v>4</v>
      </c>
      <c r="H39" s="101">
        <f>F39*'SSQ Metadata'!$B$13</f>
        <v>22.740000000000002</v>
      </c>
      <c r="I39" s="21">
        <f>IF(G39="","",G39*'SSQ Metadata'!$B$13)</f>
        <v>30.32</v>
      </c>
      <c r="J39" s="18">
        <f>SSQ_Intermediate!F39+SSQ_Intermediate!I39+SSQ_Intermediate!K39+SSQ_Intermediate!L39+SSQ_Intermediate!M39+SSQ_Intermediate!N39+SSQ_Intermediate!O39</f>
        <v>3</v>
      </c>
      <c r="K39" s="102">
        <f>IF(AND(SSQ_Intermediate!V39="",SSQ_Intermediate!Y39="",SSQ_Intermediate!AA39="",SSQ_Intermediate!AB39="",SSQ_Intermediate!AC39="",SSQ_Intermediate!AD39="",SSQ_Intermediate!AE39=""),"",SUM(SSQ_Intermediate!V39,SSQ_Intermediate!Y39,SSQ_Intermediate!AA39,SSQ_Intermediate!AB39,SSQ_Intermediate!AC39,SSQ_Intermediate!AD39,SSQ_Intermediate!AE39))</f>
        <v>1</v>
      </c>
      <c r="L39" s="102">
        <f>J39*'SSQ Metadata'!$B$14</f>
        <v>41.76</v>
      </c>
      <c r="M39" s="19">
        <f>IF(K39="","",K39*'SSQ Metadata'!$B$14)</f>
        <v>13.92</v>
      </c>
      <c r="N39" s="16">
        <f>(B39+F39+J39)*'SSQ Metadata'!$B$15</f>
        <v>29.92</v>
      </c>
      <c r="O39" s="17">
        <f>IF(AND(C39="",G39="",K39=""),"",(C39+G39+K39)*'SSQ Metadata'!$B$15)</f>
        <v>22.44</v>
      </c>
      <c r="P39" s="15">
        <f t="shared" si="0"/>
        <v>-9.5399999999999991</v>
      </c>
      <c r="Q39" s="103">
        <f t="shared" si="1"/>
        <v>7.5799999999999983</v>
      </c>
      <c r="R39" s="103">
        <f t="shared" si="2"/>
        <v>-27.839999999999996</v>
      </c>
      <c r="S39" s="104">
        <f t="shared" si="3"/>
        <v>-7.48</v>
      </c>
    </row>
    <row r="40" spans="1:19" x14ac:dyDescent="0.2">
      <c r="A40" s="70">
        <v>37</v>
      </c>
      <c r="B40" s="99">
        <f>SSQ_Intermediate!B40+SSQ_Intermediate!G40+SSQ_Intermediate!H40+SSQ_Intermediate!I40+SSQ_Intermediate!J40+SSQ_Intermediate!P40+SSQ_Intermediate!Q40</f>
        <v>0</v>
      </c>
      <c r="C40" s="100">
        <f>IF(AND(SSQ_Intermediate!R40="",SSQ_Intermediate!W40="",SSQ_Intermediate!X40="",SSQ_Intermediate!Y40="",SSQ_Intermediate!Z40="",SSQ_Intermediate!AF40="",SSQ_Intermediate!AG40=""),"",SUM(SSQ_Intermediate!R40,SSQ_Intermediate!W40,SSQ_Intermediate!X40,SSQ_Intermediate!Y40,SSQ_Intermediate!Z40,SSQ_Intermediate!AF40,SSQ_Intermediate!AG40))</f>
        <v>6</v>
      </c>
      <c r="D40" s="100">
        <f>B40*'SSQ Metadata'!$B$12</f>
        <v>0</v>
      </c>
      <c r="E40" s="22">
        <f>IF(C40="","",C40*'SSQ Metadata'!$B$12)</f>
        <v>57.239999999999995</v>
      </c>
      <c r="F40" s="20">
        <f>SSQ_Intermediate!B40+SSQ_Intermediate!C40+SSQ_Intermediate!D40+SSQ_Intermediate!E40+SSQ_Intermediate!F40+SSQ_Intermediate!J40+SSQ_Intermediate!L40</f>
        <v>1</v>
      </c>
      <c r="G40" s="101">
        <f>IF(AND(SSQ_Intermediate!R40="",SSQ_Intermediate!S40="",SSQ_Intermediate!T40="",SSQ_Intermediate!U40="",SSQ_Intermediate!V40="",SSQ_Intermediate!Z40="",SSQ_Intermediate!AB40=""),"",SUM(SSQ_Intermediate!R40,SSQ_Intermediate!S40,SSQ_Intermediate!T40,SSQ_Intermediate!U40,SSQ_Intermediate!V40,SSQ_Intermediate!Z40,SSQ_Intermediate!AB40))</f>
        <v>3</v>
      </c>
      <c r="H40" s="101">
        <f>F40*'SSQ Metadata'!$B$13</f>
        <v>7.58</v>
      </c>
      <c r="I40" s="21">
        <f>IF(G40="","",G40*'SSQ Metadata'!$B$13)</f>
        <v>22.740000000000002</v>
      </c>
      <c r="J40" s="18">
        <f>SSQ_Intermediate!F40+SSQ_Intermediate!I40+SSQ_Intermediate!K40+SSQ_Intermediate!L40+SSQ_Intermediate!M40+SSQ_Intermediate!N40+SSQ_Intermediate!O40</f>
        <v>0</v>
      </c>
      <c r="K40" s="102">
        <f>IF(AND(SSQ_Intermediate!V40="",SSQ_Intermediate!Y40="",SSQ_Intermediate!AA40="",SSQ_Intermediate!AB40="",SSQ_Intermediate!AC40="",SSQ_Intermediate!AD40="",SSQ_Intermediate!AE40=""),"",SUM(SSQ_Intermediate!V40,SSQ_Intermediate!Y40,SSQ_Intermediate!AA40,SSQ_Intermediate!AB40,SSQ_Intermediate!AC40,SSQ_Intermediate!AD40,SSQ_Intermediate!AE40))</f>
        <v>2</v>
      </c>
      <c r="L40" s="102">
        <f>J40*'SSQ Metadata'!$B$14</f>
        <v>0</v>
      </c>
      <c r="M40" s="19">
        <f>IF(K40="","",K40*'SSQ Metadata'!$B$14)</f>
        <v>27.84</v>
      </c>
      <c r="N40" s="16">
        <f>(B40+F40+J40)*'SSQ Metadata'!$B$15</f>
        <v>3.74</v>
      </c>
      <c r="O40" s="17">
        <f>IF(AND(C40="",G40="",K40=""),"",(C40+G40+K40)*'SSQ Metadata'!$B$15)</f>
        <v>41.14</v>
      </c>
      <c r="P40" s="15">
        <f t="shared" si="0"/>
        <v>57.239999999999995</v>
      </c>
      <c r="Q40" s="103">
        <f t="shared" si="1"/>
        <v>15.160000000000002</v>
      </c>
      <c r="R40" s="103">
        <f t="shared" si="2"/>
        <v>27.84</v>
      </c>
      <c r="S40" s="104">
        <f t="shared" si="3"/>
        <v>37.4</v>
      </c>
    </row>
    <row r="41" spans="1:19" x14ac:dyDescent="0.2">
      <c r="A41" s="70">
        <v>38</v>
      </c>
      <c r="B41" s="99">
        <f>SSQ_Intermediate!B41+SSQ_Intermediate!G41+SSQ_Intermediate!H41+SSQ_Intermediate!I41+SSQ_Intermediate!J41+SSQ_Intermediate!P41+SSQ_Intermediate!Q41</f>
        <v>0</v>
      </c>
      <c r="C41" s="100">
        <f>IF(AND(SSQ_Intermediate!R41="",SSQ_Intermediate!W41="",SSQ_Intermediate!X41="",SSQ_Intermediate!Y41="",SSQ_Intermediate!Z41="",SSQ_Intermediate!AF41="",SSQ_Intermediate!AG41=""),"",SUM(SSQ_Intermediate!R41,SSQ_Intermediate!W41,SSQ_Intermediate!X41,SSQ_Intermediate!Y41,SSQ_Intermediate!Z41,SSQ_Intermediate!AF41,SSQ_Intermediate!AG41))</f>
        <v>0</v>
      </c>
      <c r="D41" s="100">
        <f>B41*'SSQ Metadata'!$B$12</f>
        <v>0</v>
      </c>
      <c r="E41" s="22">
        <f>IF(C41="","",C41*'SSQ Metadata'!$B$12)</f>
        <v>0</v>
      </c>
      <c r="F41" s="20">
        <f>SSQ_Intermediate!B41+SSQ_Intermediate!C41+SSQ_Intermediate!D41+SSQ_Intermediate!E41+SSQ_Intermediate!F41+SSQ_Intermediate!J41+SSQ_Intermediate!L41</f>
        <v>1</v>
      </c>
      <c r="G41" s="101">
        <f>IF(AND(SSQ_Intermediate!R41="",SSQ_Intermediate!S41="",SSQ_Intermediate!T41="",SSQ_Intermediate!U41="",SSQ_Intermediate!V41="",SSQ_Intermediate!Z41="",SSQ_Intermediate!AB41=""),"",SUM(SSQ_Intermediate!R41,SSQ_Intermediate!S41,SSQ_Intermediate!T41,SSQ_Intermediate!U41,SSQ_Intermediate!V41,SSQ_Intermediate!Z41,SSQ_Intermediate!AB41))</f>
        <v>2</v>
      </c>
      <c r="H41" s="101">
        <f>F41*'SSQ Metadata'!$B$13</f>
        <v>7.58</v>
      </c>
      <c r="I41" s="21">
        <f>IF(G41="","",G41*'SSQ Metadata'!$B$13)</f>
        <v>15.16</v>
      </c>
      <c r="J41" s="18">
        <f>SSQ_Intermediate!F41+SSQ_Intermediate!I41+SSQ_Intermediate!K41+SSQ_Intermediate!L41+SSQ_Intermediate!M41+SSQ_Intermediate!N41+SSQ_Intermediate!O41</f>
        <v>0</v>
      </c>
      <c r="K41" s="102">
        <f>IF(AND(SSQ_Intermediate!V41="",SSQ_Intermediate!Y41="",SSQ_Intermediate!AA41="",SSQ_Intermediate!AB41="",SSQ_Intermediate!AC41="",SSQ_Intermediate!AD41="",SSQ_Intermediate!AE41=""),"",SUM(SSQ_Intermediate!V41,SSQ_Intermediate!Y41,SSQ_Intermediate!AA41,SSQ_Intermediate!AB41,SSQ_Intermediate!AC41,SSQ_Intermediate!AD41,SSQ_Intermediate!AE41))</f>
        <v>0</v>
      </c>
      <c r="L41" s="102">
        <f>J41*'SSQ Metadata'!$B$14</f>
        <v>0</v>
      </c>
      <c r="M41" s="19">
        <f>IF(K41="","",K41*'SSQ Metadata'!$B$14)</f>
        <v>0</v>
      </c>
      <c r="N41" s="16">
        <f>(B41+F41+J41)*'SSQ Metadata'!$B$15</f>
        <v>3.74</v>
      </c>
      <c r="O41" s="17">
        <f>IF(AND(C41="",G41="",K41=""),"",(C41+G41+K41)*'SSQ Metadata'!$B$15)</f>
        <v>7.48</v>
      </c>
      <c r="P41" s="15">
        <f t="shared" si="0"/>
        <v>0</v>
      </c>
      <c r="Q41" s="103">
        <f t="shared" si="1"/>
        <v>7.58</v>
      </c>
      <c r="R41" s="103">
        <f t="shared" si="2"/>
        <v>0</v>
      </c>
      <c r="S41" s="104">
        <f t="shared" si="3"/>
        <v>3.74</v>
      </c>
    </row>
    <row r="42" spans="1:19" x14ac:dyDescent="0.2">
      <c r="A42" s="70">
        <v>39</v>
      </c>
      <c r="B42" s="99">
        <f>SSQ_Intermediate!B42+SSQ_Intermediate!G42+SSQ_Intermediate!H42+SSQ_Intermediate!I42+SSQ_Intermediate!J42+SSQ_Intermediate!P42+SSQ_Intermediate!Q42</f>
        <v>0</v>
      </c>
      <c r="C42" s="100">
        <f>IF(AND(SSQ_Intermediate!R42="",SSQ_Intermediate!W42="",SSQ_Intermediate!X42="",SSQ_Intermediate!Y42="",SSQ_Intermediate!Z42="",SSQ_Intermediate!AF42="",SSQ_Intermediate!AG42=""),"",SUM(SSQ_Intermediate!R42,SSQ_Intermediate!W42,SSQ_Intermediate!X42,SSQ_Intermediate!Y42,SSQ_Intermediate!Z42,SSQ_Intermediate!AF42,SSQ_Intermediate!AG42))</f>
        <v>7</v>
      </c>
      <c r="D42" s="100">
        <f>B42*'SSQ Metadata'!$B$12</f>
        <v>0</v>
      </c>
      <c r="E42" s="22">
        <f>IF(C42="","",C42*'SSQ Metadata'!$B$12)</f>
        <v>66.78</v>
      </c>
      <c r="F42" s="20">
        <f>SSQ_Intermediate!B42+SSQ_Intermediate!C42+SSQ_Intermediate!D42+SSQ_Intermediate!E42+SSQ_Intermediate!F42+SSQ_Intermediate!J42+SSQ_Intermediate!L42</f>
        <v>0</v>
      </c>
      <c r="G42" s="101">
        <f>IF(AND(SSQ_Intermediate!R42="",SSQ_Intermediate!S42="",SSQ_Intermediate!T42="",SSQ_Intermediate!U42="",SSQ_Intermediate!V42="",SSQ_Intermediate!Z42="",SSQ_Intermediate!AB42=""),"",SUM(SSQ_Intermediate!R42,SSQ_Intermediate!S42,SSQ_Intermediate!T42,SSQ_Intermediate!U42,SSQ_Intermediate!V42,SSQ_Intermediate!Z42,SSQ_Intermediate!AB42))</f>
        <v>5</v>
      </c>
      <c r="H42" s="101">
        <f>F42*'SSQ Metadata'!$B$13</f>
        <v>0</v>
      </c>
      <c r="I42" s="21">
        <f>IF(G42="","",G42*'SSQ Metadata'!$B$13)</f>
        <v>37.9</v>
      </c>
      <c r="J42" s="18">
        <f>SSQ_Intermediate!F42+SSQ_Intermediate!I42+SSQ_Intermediate!K42+SSQ_Intermediate!L42+SSQ_Intermediate!M42+SSQ_Intermediate!N42+SSQ_Intermediate!O42</f>
        <v>0</v>
      </c>
      <c r="K42" s="102">
        <f>IF(AND(SSQ_Intermediate!V42="",SSQ_Intermediate!Y42="",SSQ_Intermediate!AA42="",SSQ_Intermediate!AB42="",SSQ_Intermediate!AC42="",SSQ_Intermediate!AD42="",SSQ_Intermediate!AE42=""),"",SUM(SSQ_Intermediate!V42,SSQ_Intermediate!Y42,SSQ_Intermediate!AA42,SSQ_Intermediate!AB42,SSQ_Intermediate!AC42,SSQ_Intermediate!AD42,SSQ_Intermediate!AE42))</f>
        <v>7</v>
      </c>
      <c r="L42" s="102">
        <f>J42*'SSQ Metadata'!$B$14</f>
        <v>0</v>
      </c>
      <c r="M42" s="19">
        <f>IF(K42="","",K42*'SSQ Metadata'!$B$14)</f>
        <v>97.44</v>
      </c>
      <c r="N42" s="16">
        <f>(B42+F42+J42)*'SSQ Metadata'!$B$15</f>
        <v>0</v>
      </c>
      <c r="O42" s="17">
        <f>IF(AND(C42="",G42="",K42=""),"",(C42+G42+K42)*'SSQ Metadata'!$B$15)</f>
        <v>71.06</v>
      </c>
      <c r="P42" s="15">
        <f t="shared" si="0"/>
        <v>66.78</v>
      </c>
      <c r="Q42" s="103">
        <f t="shared" si="1"/>
        <v>37.9</v>
      </c>
      <c r="R42" s="103">
        <f t="shared" si="2"/>
        <v>97.44</v>
      </c>
      <c r="S42" s="104">
        <f t="shared" si="3"/>
        <v>71.06</v>
      </c>
    </row>
    <row r="43" spans="1:19" x14ac:dyDescent="0.2">
      <c r="A43" s="70">
        <v>40</v>
      </c>
      <c r="B43" s="99">
        <f>SSQ_Intermediate!B43+SSQ_Intermediate!G43+SSQ_Intermediate!H43+SSQ_Intermediate!I43+SSQ_Intermediate!J43+SSQ_Intermediate!P43+SSQ_Intermediate!Q43</f>
        <v>1</v>
      </c>
      <c r="C43" s="100">
        <f>IF(AND(SSQ_Intermediate!R43="",SSQ_Intermediate!W43="",SSQ_Intermediate!X43="",SSQ_Intermediate!Y43="",SSQ_Intermediate!Z43="",SSQ_Intermediate!AF43="",SSQ_Intermediate!AG43=""),"",SUM(SSQ_Intermediate!R43,SSQ_Intermediate!W43,SSQ_Intermediate!X43,SSQ_Intermediate!Y43,SSQ_Intermediate!Z43,SSQ_Intermediate!AF43,SSQ_Intermediate!AG43))</f>
        <v>7</v>
      </c>
      <c r="D43" s="100">
        <f>B43*'SSQ Metadata'!$B$12</f>
        <v>9.5399999999999991</v>
      </c>
      <c r="E43" s="22">
        <f>IF(C43="","",C43*'SSQ Metadata'!$B$12)</f>
        <v>66.78</v>
      </c>
      <c r="F43" s="20">
        <f>SSQ_Intermediate!B43+SSQ_Intermediate!C43+SSQ_Intermediate!D43+SSQ_Intermediate!E43+SSQ_Intermediate!F43+SSQ_Intermediate!J43+SSQ_Intermediate!L43</f>
        <v>1</v>
      </c>
      <c r="G43" s="101">
        <f>IF(AND(SSQ_Intermediate!R43="",SSQ_Intermediate!S43="",SSQ_Intermediate!T43="",SSQ_Intermediate!U43="",SSQ_Intermediate!V43="",SSQ_Intermediate!Z43="",SSQ_Intermediate!AB43=""),"",SUM(SSQ_Intermediate!R43,SSQ_Intermediate!S43,SSQ_Intermediate!T43,SSQ_Intermediate!U43,SSQ_Intermediate!V43,SSQ_Intermediate!Z43,SSQ_Intermediate!AB43))</f>
        <v>3</v>
      </c>
      <c r="H43" s="101">
        <f>F43*'SSQ Metadata'!$B$13</f>
        <v>7.58</v>
      </c>
      <c r="I43" s="21">
        <f>IF(G43="","",G43*'SSQ Metadata'!$B$13)</f>
        <v>22.740000000000002</v>
      </c>
      <c r="J43" s="18">
        <f>SSQ_Intermediate!F43+SSQ_Intermediate!I43+SSQ_Intermediate!K43+SSQ_Intermediate!L43+SSQ_Intermediate!M43+SSQ_Intermediate!N43+SSQ_Intermediate!O43</f>
        <v>0</v>
      </c>
      <c r="K43" s="102">
        <f>IF(AND(SSQ_Intermediate!V43="",SSQ_Intermediate!Y43="",SSQ_Intermediate!AA43="",SSQ_Intermediate!AB43="",SSQ_Intermediate!AC43="",SSQ_Intermediate!AD43="",SSQ_Intermediate!AE43=""),"",SUM(SSQ_Intermediate!V43,SSQ_Intermediate!Y43,SSQ_Intermediate!AA43,SSQ_Intermediate!AB43,SSQ_Intermediate!AC43,SSQ_Intermediate!AD43,SSQ_Intermediate!AE43))</f>
        <v>2</v>
      </c>
      <c r="L43" s="102">
        <f>J43*'SSQ Metadata'!$B$14</f>
        <v>0</v>
      </c>
      <c r="M43" s="19">
        <f>IF(K43="","",K43*'SSQ Metadata'!$B$14)</f>
        <v>27.84</v>
      </c>
      <c r="N43" s="16">
        <f>(B43+F43+J43)*'SSQ Metadata'!$B$15</f>
        <v>7.48</v>
      </c>
      <c r="O43" s="17">
        <f>IF(AND(C43="",G43="",K43=""),"",(C43+G43+K43)*'SSQ Metadata'!$B$15)</f>
        <v>44.88</v>
      </c>
      <c r="P43" s="15">
        <f t="shared" si="0"/>
        <v>57.24</v>
      </c>
      <c r="Q43" s="103">
        <f t="shared" si="1"/>
        <v>15.160000000000002</v>
      </c>
      <c r="R43" s="103">
        <f t="shared" si="2"/>
        <v>27.84</v>
      </c>
      <c r="S43" s="104">
        <f t="shared" si="3"/>
        <v>37.400000000000006</v>
      </c>
    </row>
    <row r="44" spans="1:19" x14ac:dyDescent="0.2">
      <c r="A44" s="70">
        <v>41</v>
      </c>
      <c r="B44" s="99">
        <f>SSQ_Intermediate!B44+SSQ_Intermediate!G44+SSQ_Intermediate!H44+SSQ_Intermediate!I44+SSQ_Intermediate!J44+SSQ_Intermediate!P44+SSQ_Intermediate!Q44</f>
        <v>2</v>
      </c>
      <c r="C44" s="100">
        <f>IF(AND(SSQ_Intermediate!R44="",SSQ_Intermediate!W44="",SSQ_Intermediate!X44="",SSQ_Intermediate!Y44="",SSQ_Intermediate!Z44="",SSQ_Intermediate!AF44="",SSQ_Intermediate!AG44=""),"",SUM(SSQ_Intermediate!R44,SSQ_Intermediate!W44,SSQ_Intermediate!X44,SSQ_Intermediate!Y44,SSQ_Intermediate!Z44,SSQ_Intermediate!AF44,SSQ_Intermediate!AG44))</f>
        <v>6</v>
      </c>
      <c r="D44" s="100">
        <f>B44*'SSQ Metadata'!$B$12</f>
        <v>19.079999999999998</v>
      </c>
      <c r="E44" s="22">
        <f>IF(C44="","",C44*'SSQ Metadata'!$B$12)</f>
        <v>57.239999999999995</v>
      </c>
      <c r="F44" s="20">
        <f>SSQ_Intermediate!B44+SSQ_Intermediate!C44+SSQ_Intermediate!D44+SSQ_Intermediate!E44+SSQ_Intermediate!F44+SSQ_Intermediate!J44+SSQ_Intermediate!L44</f>
        <v>4</v>
      </c>
      <c r="G44" s="101">
        <f>IF(AND(SSQ_Intermediate!R44="",SSQ_Intermediate!S44="",SSQ_Intermediate!T44="",SSQ_Intermediate!U44="",SSQ_Intermediate!V44="",SSQ_Intermediate!Z44="",SSQ_Intermediate!AB44=""),"",SUM(SSQ_Intermediate!R44,SSQ_Intermediate!S44,SSQ_Intermediate!T44,SSQ_Intermediate!U44,SSQ_Intermediate!V44,SSQ_Intermediate!Z44,SSQ_Intermediate!AB44))</f>
        <v>8</v>
      </c>
      <c r="H44" s="101">
        <f>F44*'SSQ Metadata'!$B$13</f>
        <v>30.32</v>
      </c>
      <c r="I44" s="21">
        <f>IF(G44="","",G44*'SSQ Metadata'!$B$13)</f>
        <v>60.64</v>
      </c>
      <c r="J44" s="18">
        <f>SSQ_Intermediate!F44+SSQ_Intermediate!I44+SSQ_Intermediate!K44+SSQ_Intermediate!L44+SSQ_Intermediate!M44+SSQ_Intermediate!N44+SSQ_Intermediate!O44</f>
        <v>0</v>
      </c>
      <c r="K44" s="102">
        <f>IF(AND(SSQ_Intermediate!V44="",SSQ_Intermediate!Y44="",SSQ_Intermediate!AA44="",SSQ_Intermediate!AB44="",SSQ_Intermediate!AC44="",SSQ_Intermediate!AD44="",SSQ_Intermediate!AE44=""),"",SUM(SSQ_Intermediate!V44,SSQ_Intermediate!Y44,SSQ_Intermediate!AA44,SSQ_Intermediate!AB44,SSQ_Intermediate!AC44,SSQ_Intermediate!AD44,SSQ_Intermediate!AE44))</f>
        <v>0</v>
      </c>
      <c r="L44" s="102">
        <f>J44*'SSQ Metadata'!$B$14</f>
        <v>0</v>
      </c>
      <c r="M44" s="19">
        <f>IF(K44="","",K44*'SSQ Metadata'!$B$14)</f>
        <v>0</v>
      </c>
      <c r="N44" s="16">
        <f>(B44+F44+J44)*'SSQ Metadata'!$B$15</f>
        <v>22.44</v>
      </c>
      <c r="O44" s="17">
        <f>IF(AND(C44="",G44="",K44=""),"",(C44+G44+K44)*'SSQ Metadata'!$B$15)</f>
        <v>52.36</v>
      </c>
      <c r="P44" s="15">
        <f t="shared" si="0"/>
        <v>38.159999999999997</v>
      </c>
      <c r="Q44" s="103">
        <f t="shared" si="1"/>
        <v>30.32</v>
      </c>
      <c r="R44" s="103">
        <f t="shared" si="2"/>
        <v>0</v>
      </c>
      <c r="S44" s="104">
        <f t="shared" si="3"/>
        <v>29.919999999999998</v>
      </c>
    </row>
    <row r="45" spans="1:19" x14ac:dyDescent="0.2">
      <c r="A45" s="70">
        <v>42</v>
      </c>
      <c r="B45" s="99">
        <f>SSQ_Intermediate!B45+SSQ_Intermediate!G45+SSQ_Intermediate!H45+SSQ_Intermediate!I45+SSQ_Intermediate!J45+SSQ_Intermediate!P45+SSQ_Intermediate!Q45</f>
        <v>3</v>
      </c>
      <c r="C45" s="100">
        <f>IF(AND(SSQ_Intermediate!R45="",SSQ_Intermediate!W45="",SSQ_Intermediate!X45="",SSQ_Intermediate!Y45="",SSQ_Intermediate!Z45="",SSQ_Intermediate!AF45="",SSQ_Intermediate!AG45=""),"",SUM(SSQ_Intermediate!R45,SSQ_Intermediate!W45,SSQ_Intermediate!X45,SSQ_Intermediate!Y45,SSQ_Intermediate!Z45,SSQ_Intermediate!AF45,SSQ_Intermediate!AG45))</f>
        <v>0</v>
      </c>
      <c r="D45" s="100">
        <f>B45*'SSQ Metadata'!$B$12</f>
        <v>28.619999999999997</v>
      </c>
      <c r="E45" s="22">
        <f>IF(C45="","",C45*'SSQ Metadata'!$B$12)</f>
        <v>0</v>
      </c>
      <c r="F45" s="20">
        <f>SSQ_Intermediate!B45+SSQ_Intermediate!C45+SSQ_Intermediate!D45+SSQ_Intermediate!E45+SSQ_Intermediate!F45+SSQ_Intermediate!J45+SSQ_Intermediate!L45</f>
        <v>2</v>
      </c>
      <c r="G45" s="101">
        <f>IF(AND(SSQ_Intermediate!R45="",SSQ_Intermediate!S45="",SSQ_Intermediate!T45="",SSQ_Intermediate!U45="",SSQ_Intermediate!V45="",SSQ_Intermediate!Z45="",SSQ_Intermediate!AB45=""),"",SUM(SSQ_Intermediate!R45,SSQ_Intermediate!S45,SSQ_Intermediate!T45,SSQ_Intermediate!U45,SSQ_Intermediate!V45,SSQ_Intermediate!Z45,SSQ_Intermediate!AB45))</f>
        <v>1</v>
      </c>
      <c r="H45" s="101">
        <f>F45*'SSQ Metadata'!$B$13</f>
        <v>15.16</v>
      </c>
      <c r="I45" s="21">
        <f>IF(G45="","",G45*'SSQ Metadata'!$B$13)</f>
        <v>7.58</v>
      </c>
      <c r="J45" s="18">
        <f>SSQ_Intermediate!F45+SSQ_Intermediate!I45+SSQ_Intermediate!K45+SSQ_Intermediate!L45+SSQ_Intermediate!M45+SSQ_Intermediate!N45+SSQ_Intermediate!O45</f>
        <v>1</v>
      </c>
      <c r="K45" s="102">
        <f>IF(AND(SSQ_Intermediate!V45="",SSQ_Intermediate!Y45="",SSQ_Intermediate!AA45="",SSQ_Intermediate!AB45="",SSQ_Intermediate!AC45="",SSQ_Intermediate!AD45="",SSQ_Intermediate!AE45=""),"",SUM(SSQ_Intermediate!V45,SSQ_Intermediate!Y45,SSQ_Intermediate!AA45,SSQ_Intermediate!AB45,SSQ_Intermediate!AC45,SSQ_Intermediate!AD45,SSQ_Intermediate!AE45))</f>
        <v>1</v>
      </c>
      <c r="L45" s="102">
        <f>J45*'SSQ Metadata'!$B$14</f>
        <v>13.92</v>
      </c>
      <c r="M45" s="19">
        <f>IF(K45="","",K45*'SSQ Metadata'!$B$14)</f>
        <v>13.92</v>
      </c>
      <c r="N45" s="16">
        <f>(B45+F45+J45)*'SSQ Metadata'!$B$15</f>
        <v>22.44</v>
      </c>
      <c r="O45" s="17">
        <f>IF(AND(C45="",G45="",K45=""),"",(C45+G45+K45)*'SSQ Metadata'!$B$15)</f>
        <v>7.48</v>
      </c>
      <c r="P45" s="15">
        <f t="shared" si="0"/>
        <v>-28.619999999999997</v>
      </c>
      <c r="Q45" s="103">
        <f t="shared" si="1"/>
        <v>-7.58</v>
      </c>
      <c r="R45" s="103">
        <f t="shared" si="2"/>
        <v>0</v>
      </c>
      <c r="S45" s="104">
        <f t="shared" si="3"/>
        <v>-14.96</v>
      </c>
    </row>
    <row r="46" spans="1:19" x14ac:dyDescent="0.2">
      <c r="A46" s="70">
        <v>43</v>
      </c>
      <c r="B46" s="99">
        <f>SSQ_Intermediate!B46+SSQ_Intermediate!G46+SSQ_Intermediate!H46+SSQ_Intermediate!I46+SSQ_Intermediate!J46+SSQ_Intermediate!P46+SSQ_Intermediate!Q46</f>
        <v>1</v>
      </c>
      <c r="C46" s="100">
        <f>IF(AND(SSQ_Intermediate!R46="",SSQ_Intermediate!W46="",SSQ_Intermediate!X46="",SSQ_Intermediate!Y46="",SSQ_Intermediate!Z46="",SSQ_Intermediate!AF46="",SSQ_Intermediate!AG46=""),"",SUM(SSQ_Intermediate!R46,SSQ_Intermediate!W46,SSQ_Intermediate!X46,SSQ_Intermediate!Y46,SSQ_Intermediate!Z46,SSQ_Intermediate!AF46,SSQ_Intermediate!AG46))</f>
        <v>0</v>
      </c>
      <c r="D46" s="100">
        <f>B46*'SSQ Metadata'!$B$12</f>
        <v>9.5399999999999991</v>
      </c>
      <c r="E46" s="22">
        <f>IF(C46="","",C46*'SSQ Metadata'!$B$12)</f>
        <v>0</v>
      </c>
      <c r="F46" s="20">
        <f>SSQ_Intermediate!B46+SSQ_Intermediate!C46+SSQ_Intermediate!D46+SSQ_Intermediate!E46+SSQ_Intermediate!F46+SSQ_Intermediate!J46+SSQ_Intermediate!L46</f>
        <v>4</v>
      </c>
      <c r="G46" s="101">
        <f>IF(AND(SSQ_Intermediate!R46="",SSQ_Intermediate!S46="",SSQ_Intermediate!T46="",SSQ_Intermediate!U46="",SSQ_Intermediate!V46="",SSQ_Intermediate!Z46="",SSQ_Intermediate!AB46=""),"",SUM(SSQ_Intermediate!R46,SSQ_Intermediate!S46,SSQ_Intermediate!T46,SSQ_Intermediate!U46,SSQ_Intermediate!V46,SSQ_Intermediate!Z46,SSQ_Intermediate!AB46))</f>
        <v>4</v>
      </c>
      <c r="H46" s="101">
        <f>F46*'SSQ Metadata'!$B$13</f>
        <v>30.32</v>
      </c>
      <c r="I46" s="21">
        <f>IF(G46="","",G46*'SSQ Metadata'!$B$13)</f>
        <v>30.32</v>
      </c>
      <c r="J46" s="18">
        <f>SSQ_Intermediate!F46+SSQ_Intermediate!I46+SSQ_Intermediate!K46+SSQ_Intermediate!L46+SSQ_Intermediate!M46+SSQ_Intermediate!N46+SSQ_Intermediate!O46</f>
        <v>0</v>
      </c>
      <c r="K46" s="102">
        <f>IF(AND(SSQ_Intermediate!V46="",SSQ_Intermediate!Y46="",SSQ_Intermediate!AA46="",SSQ_Intermediate!AB46="",SSQ_Intermediate!AC46="",SSQ_Intermediate!AD46="",SSQ_Intermediate!AE46=""),"",SUM(SSQ_Intermediate!V46,SSQ_Intermediate!Y46,SSQ_Intermediate!AA46,SSQ_Intermediate!AB46,SSQ_Intermediate!AC46,SSQ_Intermediate!AD46,SSQ_Intermediate!AE46))</f>
        <v>1</v>
      </c>
      <c r="L46" s="102">
        <f>J46*'SSQ Metadata'!$B$14</f>
        <v>0</v>
      </c>
      <c r="M46" s="19">
        <f>IF(K46="","",K46*'SSQ Metadata'!$B$14)</f>
        <v>13.92</v>
      </c>
      <c r="N46" s="16">
        <f>(B46+F46+J46)*'SSQ Metadata'!$B$15</f>
        <v>18.700000000000003</v>
      </c>
      <c r="O46" s="17">
        <f>IF(AND(C46="",G46="",K46=""),"",(C46+G46+K46)*'SSQ Metadata'!$B$15)</f>
        <v>18.700000000000003</v>
      </c>
      <c r="P46" s="15">
        <f t="shared" si="0"/>
        <v>-9.5399999999999991</v>
      </c>
      <c r="Q46" s="103">
        <f t="shared" si="1"/>
        <v>0</v>
      </c>
      <c r="R46" s="103">
        <f t="shared" si="2"/>
        <v>13.92</v>
      </c>
      <c r="S46" s="104">
        <f t="shared" si="3"/>
        <v>0</v>
      </c>
    </row>
    <row r="47" spans="1:19" x14ac:dyDescent="0.2">
      <c r="A47" s="70">
        <v>44</v>
      </c>
      <c r="B47" s="99">
        <f>SSQ_Intermediate!B47+SSQ_Intermediate!G47+SSQ_Intermediate!H47+SSQ_Intermediate!I47+SSQ_Intermediate!J47+SSQ_Intermediate!P47+SSQ_Intermediate!Q47</f>
        <v>2</v>
      </c>
      <c r="C47" s="100">
        <f>IF(AND(SSQ_Intermediate!R47="",SSQ_Intermediate!W47="",SSQ_Intermediate!X47="",SSQ_Intermediate!Y47="",SSQ_Intermediate!Z47="",SSQ_Intermediate!AF47="",SSQ_Intermediate!AG47=""),"",SUM(SSQ_Intermediate!R47,SSQ_Intermediate!W47,SSQ_Intermediate!X47,SSQ_Intermediate!Y47,SSQ_Intermediate!Z47,SSQ_Intermediate!AF47,SSQ_Intermediate!AG47))</f>
        <v>11</v>
      </c>
      <c r="D47" s="100">
        <f>B47*'SSQ Metadata'!$B$12</f>
        <v>19.079999999999998</v>
      </c>
      <c r="E47" s="22">
        <f>IF(C47="","",C47*'SSQ Metadata'!$B$12)</f>
        <v>104.94</v>
      </c>
      <c r="F47" s="20">
        <f>SSQ_Intermediate!B47+SSQ_Intermediate!C47+SSQ_Intermediate!D47+SSQ_Intermediate!E47+SSQ_Intermediate!F47+SSQ_Intermediate!J47+SSQ_Intermediate!L47</f>
        <v>7</v>
      </c>
      <c r="G47" s="101">
        <f>IF(AND(SSQ_Intermediate!R47="",SSQ_Intermediate!S47="",SSQ_Intermediate!T47="",SSQ_Intermediate!U47="",SSQ_Intermediate!V47="",SSQ_Intermediate!Z47="",SSQ_Intermediate!AB47=""),"",SUM(SSQ_Intermediate!R47,SSQ_Intermediate!S47,SSQ_Intermediate!T47,SSQ_Intermediate!U47,SSQ_Intermediate!V47,SSQ_Intermediate!Z47,SSQ_Intermediate!AB47))</f>
        <v>12</v>
      </c>
      <c r="H47" s="101">
        <f>F47*'SSQ Metadata'!$B$13</f>
        <v>53.06</v>
      </c>
      <c r="I47" s="21">
        <f>IF(G47="","",G47*'SSQ Metadata'!$B$13)</f>
        <v>90.960000000000008</v>
      </c>
      <c r="J47" s="18">
        <f>SSQ_Intermediate!F47+SSQ_Intermediate!I47+SSQ_Intermediate!K47+SSQ_Intermediate!L47+SSQ_Intermediate!M47+SSQ_Intermediate!N47+SSQ_Intermediate!O47</f>
        <v>2</v>
      </c>
      <c r="K47" s="102">
        <f>IF(AND(SSQ_Intermediate!V47="",SSQ_Intermediate!Y47="",SSQ_Intermediate!AA47="",SSQ_Intermediate!AB47="",SSQ_Intermediate!AC47="",SSQ_Intermediate!AD47="",SSQ_Intermediate!AE47=""),"",SUM(SSQ_Intermediate!V47,SSQ_Intermediate!Y47,SSQ_Intermediate!AA47,SSQ_Intermediate!AB47,SSQ_Intermediate!AC47,SSQ_Intermediate!AD47,SSQ_Intermediate!AE47))</f>
        <v>11</v>
      </c>
      <c r="L47" s="102">
        <f>J47*'SSQ Metadata'!$B$14</f>
        <v>27.84</v>
      </c>
      <c r="M47" s="19">
        <f>IF(K47="","",K47*'SSQ Metadata'!$B$14)</f>
        <v>153.12</v>
      </c>
      <c r="N47" s="16">
        <f>(B47+F47+J47)*'SSQ Metadata'!$B$15</f>
        <v>41.14</v>
      </c>
      <c r="O47" s="17">
        <f>IF(AND(C47="",G47="",K47=""),"",(C47+G47+K47)*'SSQ Metadata'!$B$15)</f>
        <v>127.16000000000001</v>
      </c>
      <c r="P47" s="15">
        <f t="shared" si="0"/>
        <v>85.86</v>
      </c>
      <c r="Q47" s="103">
        <f t="shared" si="1"/>
        <v>37.900000000000006</v>
      </c>
      <c r="R47" s="103">
        <f t="shared" si="2"/>
        <v>125.28</v>
      </c>
      <c r="S47" s="104">
        <f t="shared" si="3"/>
        <v>86.02000000000001</v>
      </c>
    </row>
    <row r="48" spans="1:19" x14ac:dyDescent="0.2">
      <c r="A48" s="70">
        <v>45</v>
      </c>
      <c r="B48" s="99">
        <f>SSQ_Intermediate!B48+SSQ_Intermediate!G48+SSQ_Intermediate!H48+SSQ_Intermediate!I48+SSQ_Intermediate!J48+SSQ_Intermediate!P48+SSQ_Intermediate!Q48</f>
        <v>0</v>
      </c>
      <c r="C48" s="100" t="str">
        <f>IF(AND(SSQ_Intermediate!R48="",SSQ_Intermediate!W48="",SSQ_Intermediate!X48="",SSQ_Intermediate!Y48="",SSQ_Intermediate!Z48="",SSQ_Intermediate!AF48="",SSQ_Intermediate!AG48=""),"",SUM(SSQ_Intermediate!R48,SSQ_Intermediate!W48,SSQ_Intermediate!X48,SSQ_Intermediate!Y48,SSQ_Intermediate!Z48,SSQ_Intermediate!AF48,SSQ_Intermediate!AG48))</f>
        <v/>
      </c>
      <c r="D48" s="100">
        <f>B48*'SSQ Metadata'!$B$12</f>
        <v>0</v>
      </c>
      <c r="E48" s="22" t="str">
        <f>IF(C48="","",C48*'SSQ Metadata'!$B$12)</f>
        <v/>
      </c>
      <c r="F48" s="20">
        <f>SSQ_Intermediate!B48+SSQ_Intermediate!C48+SSQ_Intermediate!D48+SSQ_Intermediate!E48+SSQ_Intermediate!F48+SSQ_Intermediate!J48+SSQ_Intermediate!L48</f>
        <v>0</v>
      </c>
      <c r="G48" s="101" t="str">
        <f>IF(AND(SSQ_Intermediate!R48="",SSQ_Intermediate!S48="",SSQ_Intermediate!T48="",SSQ_Intermediate!U48="",SSQ_Intermediate!V48="",SSQ_Intermediate!Z48="",SSQ_Intermediate!AB48=""),"",SUM(SSQ_Intermediate!R48,SSQ_Intermediate!S48,SSQ_Intermediate!T48,SSQ_Intermediate!U48,SSQ_Intermediate!V48,SSQ_Intermediate!Z48,SSQ_Intermediate!AB48))</f>
        <v/>
      </c>
      <c r="H48" s="101">
        <f>F48*'SSQ Metadata'!$B$13</f>
        <v>0</v>
      </c>
      <c r="I48" s="21" t="str">
        <f>IF(G48="","",G48*'SSQ Metadata'!$B$13)</f>
        <v/>
      </c>
      <c r="J48" s="18">
        <f>SSQ_Intermediate!F48+SSQ_Intermediate!I48+SSQ_Intermediate!K48+SSQ_Intermediate!L48+SSQ_Intermediate!M48+SSQ_Intermediate!N48+SSQ_Intermediate!O48</f>
        <v>0</v>
      </c>
      <c r="K48" s="102" t="str">
        <f>IF(AND(SSQ_Intermediate!V48="",SSQ_Intermediate!Y48="",SSQ_Intermediate!AA48="",SSQ_Intermediate!AB48="",SSQ_Intermediate!AC48="",SSQ_Intermediate!AD48="",SSQ_Intermediate!AE48=""),"",SUM(SSQ_Intermediate!V48,SSQ_Intermediate!Y48,SSQ_Intermediate!AA48,SSQ_Intermediate!AB48,SSQ_Intermediate!AC48,SSQ_Intermediate!AD48,SSQ_Intermediate!AE48))</f>
        <v/>
      </c>
      <c r="L48" s="102">
        <f>J48*'SSQ Metadata'!$B$14</f>
        <v>0</v>
      </c>
      <c r="M48" s="19" t="str">
        <f>IF(K48="","",K48*'SSQ Metadata'!$B$14)</f>
        <v/>
      </c>
      <c r="N48" s="16">
        <f>(B48+F48+J48)*'SSQ Metadata'!$B$15</f>
        <v>0</v>
      </c>
      <c r="O48" s="17" t="str">
        <f>IF(AND(C48="",G48="",K48=""),"",(C48+G48+K48)*'SSQ Metadata'!$B$15)</f>
        <v/>
      </c>
      <c r="P48" s="15" t="str">
        <f t="shared" si="0"/>
        <v/>
      </c>
      <c r="Q48" s="103" t="str">
        <f t="shared" si="1"/>
        <v/>
      </c>
      <c r="R48" s="103" t="str">
        <f t="shared" si="2"/>
        <v/>
      </c>
      <c r="S48" s="104" t="str">
        <f t="shared" si="3"/>
        <v/>
      </c>
    </row>
    <row r="49" spans="1:19" x14ac:dyDescent="0.2">
      <c r="A49" s="70">
        <v>46</v>
      </c>
      <c r="B49" s="99">
        <f>SSQ_Intermediate!B49+SSQ_Intermediate!G49+SSQ_Intermediate!H49+SSQ_Intermediate!I49+SSQ_Intermediate!J49+SSQ_Intermediate!P49+SSQ_Intermediate!Q49</f>
        <v>0</v>
      </c>
      <c r="C49" s="100" t="str">
        <f>IF(AND(SSQ_Intermediate!R49="",SSQ_Intermediate!W49="",SSQ_Intermediate!X49="",SSQ_Intermediate!Y49="",SSQ_Intermediate!Z49="",SSQ_Intermediate!AF49="",SSQ_Intermediate!AG49=""),"",SUM(SSQ_Intermediate!R49,SSQ_Intermediate!W49,SSQ_Intermediate!X49,SSQ_Intermediate!Y49,SSQ_Intermediate!Z49,SSQ_Intermediate!AF49,SSQ_Intermediate!AG49))</f>
        <v/>
      </c>
      <c r="D49" s="100">
        <f>B49*'SSQ Metadata'!$B$12</f>
        <v>0</v>
      </c>
      <c r="E49" s="22" t="str">
        <f>IF(C49="","",C49*'SSQ Metadata'!$B$12)</f>
        <v/>
      </c>
      <c r="F49" s="20">
        <f>SSQ_Intermediate!B49+SSQ_Intermediate!C49+SSQ_Intermediate!D49+SSQ_Intermediate!E49+SSQ_Intermediate!F49+SSQ_Intermediate!J49+SSQ_Intermediate!L49</f>
        <v>0</v>
      </c>
      <c r="G49" s="101" t="str">
        <f>IF(AND(SSQ_Intermediate!R49="",SSQ_Intermediate!S49="",SSQ_Intermediate!T49="",SSQ_Intermediate!U49="",SSQ_Intermediate!V49="",SSQ_Intermediate!Z49="",SSQ_Intermediate!AB49=""),"",SUM(SSQ_Intermediate!R49,SSQ_Intermediate!S49,SSQ_Intermediate!T49,SSQ_Intermediate!U49,SSQ_Intermediate!V49,SSQ_Intermediate!Z49,SSQ_Intermediate!AB49))</f>
        <v/>
      </c>
      <c r="H49" s="101">
        <f>F49*'SSQ Metadata'!$B$13</f>
        <v>0</v>
      </c>
      <c r="I49" s="21" t="str">
        <f>IF(G49="","",G49*'SSQ Metadata'!$B$13)</f>
        <v/>
      </c>
      <c r="J49" s="18">
        <f>SSQ_Intermediate!F49+SSQ_Intermediate!I49+SSQ_Intermediate!K49+SSQ_Intermediate!L49+SSQ_Intermediate!M49+SSQ_Intermediate!N49+SSQ_Intermediate!O49</f>
        <v>0</v>
      </c>
      <c r="K49" s="102" t="str">
        <f>IF(AND(SSQ_Intermediate!V49="",SSQ_Intermediate!Y49="",SSQ_Intermediate!AA49="",SSQ_Intermediate!AB49="",SSQ_Intermediate!AC49="",SSQ_Intermediate!AD49="",SSQ_Intermediate!AE49=""),"",SUM(SSQ_Intermediate!V49,SSQ_Intermediate!Y49,SSQ_Intermediate!AA49,SSQ_Intermediate!AB49,SSQ_Intermediate!AC49,SSQ_Intermediate!AD49,SSQ_Intermediate!AE49))</f>
        <v/>
      </c>
      <c r="L49" s="102">
        <f>J49*'SSQ Metadata'!$B$14</f>
        <v>0</v>
      </c>
      <c r="M49" s="19" t="str">
        <f>IF(K49="","",K49*'SSQ Metadata'!$B$14)</f>
        <v/>
      </c>
      <c r="N49" s="16">
        <f>(B49+F49+J49)*'SSQ Metadata'!$B$15</f>
        <v>0</v>
      </c>
      <c r="O49" s="17" t="str">
        <f>IF(AND(C49="",G49="",K49=""),"",(C49+G49+K49)*'SSQ Metadata'!$B$15)</f>
        <v/>
      </c>
      <c r="P49" s="15" t="str">
        <f t="shared" si="0"/>
        <v/>
      </c>
      <c r="Q49" s="103" t="str">
        <f t="shared" si="1"/>
        <v/>
      </c>
      <c r="R49" s="103" t="str">
        <f t="shared" si="2"/>
        <v/>
      </c>
      <c r="S49" s="104" t="str">
        <f t="shared" si="3"/>
        <v/>
      </c>
    </row>
    <row r="50" spans="1:19" x14ac:dyDescent="0.2">
      <c r="A50" s="70">
        <v>47</v>
      </c>
      <c r="B50" s="99">
        <f>SSQ_Intermediate!B50+SSQ_Intermediate!G50+SSQ_Intermediate!H50+SSQ_Intermediate!I50+SSQ_Intermediate!J50+SSQ_Intermediate!P50+SSQ_Intermediate!Q50</f>
        <v>0</v>
      </c>
      <c r="C50" s="100" t="str">
        <f>IF(AND(SSQ_Intermediate!R50="",SSQ_Intermediate!W50="",SSQ_Intermediate!X50="",SSQ_Intermediate!Y50="",SSQ_Intermediate!Z50="",SSQ_Intermediate!AF50="",SSQ_Intermediate!AG50=""),"",SUM(SSQ_Intermediate!R50,SSQ_Intermediate!W50,SSQ_Intermediate!X50,SSQ_Intermediate!Y50,SSQ_Intermediate!Z50,SSQ_Intermediate!AF50,SSQ_Intermediate!AG50))</f>
        <v/>
      </c>
      <c r="D50" s="100">
        <f>B50*'SSQ Metadata'!$B$12</f>
        <v>0</v>
      </c>
      <c r="E50" s="22" t="str">
        <f>IF(C50="","",C50*'SSQ Metadata'!$B$12)</f>
        <v/>
      </c>
      <c r="F50" s="20">
        <f>SSQ_Intermediate!B50+SSQ_Intermediate!C50+SSQ_Intermediate!D50+SSQ_Intermediate!E50+SSQ_Intermediate!F50+SSQ_Intermediate!J50+SSQ_Intermediate!L50</f>
        <v>0</v>
      </c>
      <c r="G50" s="101" t="str">
        <f>IF(AND(SSQ_Intermediate!R50="",SSQ_Intermediate!S50="",SSQ_Intermediate!T50="",SSQ_Intermediate!U50="",SSQ_Intermediate!V50="",SSQ_Intermediate!Z50="",SSQ_Intermediate!AB50=""),"",SUM(SSQ_Intermediate!R50,SSQ_Intermediate!S50,SSQ_Intermediate!T50,SSQ_Intermediate!U50,SSQ_Intermediate!V50,SSQ_Intermediate!Z50,SSQ_Intermediate!AB50))</f>
        <v/>
      </c>
      <c r="H50" s="101">
        <f>F50*'SSQ Metadata'!$B$13</f>
        <v>0</v>
      </c>
      <c r="I50" s="21" t="str">
        <f>IF(G50="","",G50*'SSQ Metadata'!$B$13)</f>
        <v/>
      </c>
      <c r="J50" s="18">
        <f>SSQ_Intermediate!F50+SSQ_Intermediate!I50+SSQ_Intermediate!K50+SSQ_Intermediate!L50+SSQ_Intermediate!M50+SSQ_Intermediate!N50+SSQ_Intermediate!O50</f>
        <v>0</v>
      </c>
      <c r="K50" s="102" t="str">
        <f>IF(AND(SSQ_Intermediate!V50="",SSQ_Intermediate!Y50="",SSQ_Intermediate!AA50="",SSQ_Intermediate!AB50="",SSQ_Intermediate!AC50="",SSQ_Intermediate!AD50="",SSQ_Intermediate!AE50=""),"",SUM(SSQ_Intermediate!V50,SSQ_Intermediate!Y50,SSQ_Intermediate!AA50,SSQ_Intermediate!AB50,SSQ_Intermediate!AC50,SSQ_Intermediate!AD50,SSQ_Intermediate!AE50))</f>
        <v/>
      </c>
      <c r="L50" s="102">
        <f>J50*'SSQ Metadata'!$B$14</f>
        <v>0</v>
      </c>
      <c r="M50" s="19" t="str">
        <f>IF(K50="","",K50*'SSQ Metadata'!$B$14)</f>
        <v/>
      </c>
      <c r="N50" s="16">
        <f>(B50+F50+J50)*'SSQ Metadata'!$B$15</f>
        <v>0</v>
      </c>
      <c r="O50" s="17" t="str">
        <f>IF(AND(C50="",G50="",K50=""),"",(C50+G50+K50)*'SSQ Metadata'!$B$15)</f>
        <v/>
      </c>
      <c r="P50" s="15" t="str">
        <f t="shared" si="0"/>
        <v/>
      </c>
      <c r="Q50" s="103" t="str">
        <f t="shared" si="1"/>
        <v/>
      </c>
      <c r="R50" s="103" t="str">
        <f t="shared" si="2"/>
        <v/>
      </c>
      <c r="S50" s="104" t="str">
        <f t="shared" si="3"/>
        <v/>
      </c>
    </row>
    <row r="51" spans="1:19" x14ac:dyDescent="0.2">
      <c r="A51" s="70">
        <v>48</v>
      </c>
      <c r="B51" s="99">
        <f>SSQ_Intermediate!B51+SSQ_Intermediate!G51+SSQ_Intermediate!H51+SSQ_Intermediate!I51+SSQ_Intermediate!J51+SSQ_Intermediate!P51+SSQ_Intermediate!Q51</f>
        <v>0</v>
      </c>
      <c r="C51" s="100" t="str">
        <f>IF(AND(SSQ_Intermediate!R51="",SSQ_Intermediate!W51="",SSQ_Intermediate!X51="",SSQ_Intermediate!Y51="",SSQ_Intermediate!Z51="",SSQ_Intermediate!AF51="",SSQ_Intermediate!AG51=""),"",SUM(SSQ_Intermediate!R51,SSQ_Intermediate!W51,SSQ_Intermediate!X51,SSQ_Intermediate!Y51,SSQ_Intermediate!Z51,SSQ_Intermediate!AF51,SSQ_Intermediate!AG51))</f>
        <v/>
      </c>
      <c r="D51" s="100">
        <f>B51*'SSQ Metadata'!$B$12</f>
        <v>0</v>
      </c>
      <c r="E51" s="22" t="str">
        <f>IF(C51="","",C51*'SSQ Metadata'!$B$12)</f>
        <v/>
      </c>
      <c r="F51" s="20">
        <f>SSQ_Intermediate!B51+SSQ_Intermediate!C51+SSQ_Intermediate!D51+SSQ_Intermediate!E51+SSQ_Intermediate!F51+SSQ_Intermediate!J51+SSQ_Intermediate!L51</f>
        <v>0</v>
      </c>
      <c r="G51" s="101" t="str">
        <f>IF(AND(SSQ_Intermediate!R51="",SSQ_Intermediate!S51="",SSQ_Intermediate!T51="",SSQ_Intermediate!U51="",SSQ_Intermediate!V51="",SSQ_Intermediate!Z51="",SSQ_Intermediate!AB51=""),"",SUM(SSQ_Intermediate!R51,SSQ_Intermediate!S51,SSQ_Intermediate!T51,SSQ_Intermediate!U51,SSQ_Intermediate!V51,SSQ_Intermediate!Z51,SSQ_Intermediate!AB51))</f>
        <v/>
      </c>
      <c r="H51" s="101">
        <f>F51*'SSQ Metadata'!$B$13</f>
        <v>0</v>
      </c>
      <c r="I51" s="21" t="str">
        <f>IF(G51="","",G51*'SSQ Metadata'!$B$13)</f>
        <v/>
      </c>
      <c r="J51" s="18">
        <f>SSQ_Intermediate!F51+SSQ_Intermediate!I51+SSQ_Intermediate!K51+SSQ_Intermediate!L51+SSQ_Intermediate!M51+SSQ_Intermediate!N51+SSQ_Intermediate!O51</f>
        <v>0</v>
      </c>
      <c r="K51" s="102" t="str">
        <f>IF(AND(SSQ_Intermediate!V51="",SSQ_Intermediate!Y51="",SSQ_Intermediate!AA51="",SSQ_Intermediate!AB51="",SSQ_Intermediate!AC51="",SSQ_Intermediate!AD51="",SSQ_Intermediate!AE51=""),"",SUM(SSQ_Intermediate!V51,SSQ_Intermediate!Y51,SSQ_Intermediate!AA51,SSQ_Intermediate!AB51,SSQ_Intermediate!AC51,SSQ_Intermediate!AD51,SSQ_Intermediate!AE51))</f>
        <v/>
      </c>
      <c r="L51" s="102">
        <f>J51*'SSQ Metadata'!$B$14</f>
        <v>0</v>
      </c>
      <c r="M51" s="19" t="str">
        <f>IF(K51="","",K51*'SSQ Metadata'!$B$14)</f>
        <v/>
      </c>
      <c r="N51" s="16">
        <f>(B51+F51+J51)*'SSQ Metadata'!$B$15</f>
        <v>0</v>
      </c>
      <c r="O51" s="17" t="str">
        <f>IF(AND(C51="",G51="",K51=""),"",(C51+G51+K51)*'SSQ Metadata'!$B$15)</f>
        <v/>
      </c>
      <c r="P51" s="15" t="str">
        <f t="shared" si="0"/>
        <v/>
      </c>
      <c r="Q51" s="103" t="str">
        <f t="shared" si="1"/>
        <v/>
      </c>
      <c r="R51" s="103" t="str">
        <f t="shared" si="2"/>
        <v/>
      </c>
      <c r="S51" s="104" t="str">
        <f t="shared" si="3"/>
        <v/>
      </c>
    </row>
    <row r="52" spans="1:19" x14ac:dyDescent="0.2">
      <c r="A52" s="70">
        <v>49</v>
      </c>
      <c r="B52" s="99">
        <f>SSQ_Intermediate!B52+SSQ_Intermediate!G52+SSQ_Intermediate!H52+SSQ_Intermediate!I52+SSQ_Intermediate!J52+SSQ_Intermediate!P52+SSQ_Intermediate!Q52</f>
        <v>0</v>
      </c>
      <c r="C52" s="100" t="str">
        <f>IF(AND(SSQ_Intermediate!R52="",SSQ_Intermediate!W52="",SSQ_Intermediate!X52="",SSQ_Intermediate!Y52="",SSQ_Intermediate!Z52="",SSQ_Intermediate!AF52="",SSQ_Intermediate!AG52=""),"",SUM(SSQ_Intermediate!R52,SSQ_Intermediate!W52,SSQ_Intermediate!X52,SSQ_Intermediate!Y52,SSQ_Intermediate!Z52,SSQ_Intermediate!AF52,SSQ_Intermediate!AG52))</f>
        <v/>
      </c>
      <c r="D52" s="100">
        <f>B52*'SSQ Metadata'!$B$12</f>
        <v>0</v>
      </c>
      <c r="E52" s="22" t="str">
        <f>IF(C52="","",C52*'SSQ Metadata'!$B$12)</f>
        <v/>
      </c>
      <c r="F52" s="20">
        <f>SSQ_Intermediate!B52+SSQ_Intermediate!C52+SSQ_Intermediate!D52+SSQ_Intermediate!E52+SSQ_Intermediate!F52+SSQ_Intermediate!J52+SSQ_Intermediate!L52</f>
        <v>0</v>
      </c>
      <c r="G52" s="101" t="str">
        <f>IF(AND(SSQ_Intermediate!R52="",SSQ_Intermediate!S52="",SSQ_Intermediate!T52="",SSQ_Intermediate!U52="",SSQ_Intermediate!V52="",SSQ_Intermediate!Z52="",SSQ_Intermediate!AB52=""),"",SUM(SSQ_Intermediate!R52,SSQ_Intermediate!S52,SSQ_Intermediate!T52,SSQ_Intermediate!U52,SSQ_Intermediate!V52,SSQ_Intermediate!Z52,SSQ_Intermediate!AB52))</f>
        <v/>
      </c>
      <c r="H52" s="101">
        <f>F52*'SSQ Metadata'!$B$13</f>
        <v>0</v>
      </c>
      <c r="I52" s="21" t="str">
        <f>IF(G52="","",G52*'SSQ Metadata'!$B$13)</f>
        <v/>
      </c>
      <c r="J52" s="18">
        <f>SSQ_Intermediate!F52+SSQ_Intermediate!I52+SSQ_Intermediate!K52+SSQ_Intermediate!L52+SSQ_Intermediate!M52+SSQ_Intermediate!N52+SSQ_Intermediate!O52</f>
        <v>0</v>
      </c>
      <c r="K52" s="102" t="str">
        <f>IF(AND(SSQ_Intermediate!V52="",SSQ_Intermediate!Y52="",SSQ_Intermediate!AA52="",SSQ_Intermediate!AB52="",SSQ_Intermediate!AC52="",SSQ_Intermediate!AD52="",SSQ_Intermediate!AE52=""),"",SUM(SSQ_Intermediate!V52,SSQ_Intermediate!Y52,SSQ_Intermediate!AA52,SSQ_Intermediate!AB52,SSQ_Intermediate!AC52,SSQ_Intermediate!AD52,SSQ_Intermediate!AE52))</f>
        <v/>
      </c>
      <c r="L52" s="102">
        <f>J52*'SSQ Metadata'!$B$14</f>
        <v>0</v>
      </c>
      <c r="M52" s="19" t="str">
        <f>IF(K52="","",K52*'SSQ Metadata'!$B$14)</f>
        <v/>
      </c>
      <c r="N52" s="16">
        <f>(B52+F52+J52)*'SSQ Metadata'!$B$15</f>
        <v>0</v>
      </c>
      <c r="O52" s="17" t="str">
        <f>IF(AND(C52="",G52="",K52=""),"",(C52+G52+K52)*'SSQ Metadata'!$B$15)</f>
        <v/>
      </c>
      <c r="P52" s="15" t="str">
        <f t="shared" si="0"/>
        <v/>
      </c>
      <c r="Q52" s="103" t="str">
        <f t="shared" si="1"/>
        <v/>
      </c>
      <c r="R52" s="103" t="str">
        <f t="shared" si="2"/>
        <v/>
      </c>
      <c r="S52" s="104" t="str">
        <f t="shared" si="3"/>
        <v/>
      </c>
    </row>
    <row r="53" spans="1:19" x14ac:dyDescent="0.2">
      <c r="A53" s="70">
        <v>50</v>
      </c>
      <c r="B53" s="99">
        <f>SSQ_Intermediate!B53+SSQ_Intermediate!G53+SSQ_Intermediate!H53+SSQ_Intermediate!I53+SSQ_Intermediate!J53+SSQ_Intermediate!P53+SSQ_Intermediate!Q53</f>
        <v>0</v>
      </c>
      <c r="C53" s="100" t="str">
        <f>IF(AND(SSQ_Intermediate!R53="",SSQ_Intermediate!W53="",SSQ_Intermediate!X53="",SSQ_Intermediate!Y53="",SSQ_Intermediate!Z53="",SSQ_Intermediate!AF53="",SSQ_Intermediate!AG53=""),"",SUM(SSQ_Intermediate!R53,SSQ_Intermediate!W53,SSQ_Intermediate!X53,SSQ_Intermediate!Y53,SSQ_Intermediate!Z53,SSQ_Intermediate!AF53,SSQ_Intermediate!AG53))</f>
        <v/>
      </c>
      <c r="D53" s="100">
        <f>B53*'SSQ Metadata'!$B$12</f>
        <v>0</v>
      </c>
      <c r="E53" s="22" t="str">
        <f>IF(C53="","",C53*'SSQ Metadata'!$B$12)</f>
        <v/>
      </c>
      <c r="F53" s="20">
        <f>SSQ_Intermediate!B53+SSQ_Intermediate!C53+SSQ_Intermediate!D53+SSQ_Intermediate!E53+SSQ_Intermediate!F53+SSQ_Intermediate!J53+SSQ_Intermediate!L53</f>
        <v>0</v>
      </c>
      <c r="G53" s="101" t="str">
        <f>IF(AND(SSQ_Intermediate!R53="",SSQ_Intermediate!S53="",SSQ_Intermediate!T53="",SSQ_Intermediate!U53="",SSQ_Intermediate!V53="",SSQ_Intermediate!Z53="",SSQ_Intermediate!AB53=""),"",SUM(SSQ_Intermediate!R53,SSQ_Intermediate!S53,SSQ_Intermediate!T53,SSQ_Intermediate!U53,SSQ_Intermediate!V53,SSQ_Intermediate!Z53,SSQ_Intermediate!AB53))</f>
        <v/>
      </c>
      <c r="H53" s="101">
        <f>F53*'SSQ Metadata'!$B$13</f>
        <v>0</v>
      </c>
      <c r="I53" s="21" t="str">
        <f>IF(G53="","",G53*'SSQ Metadata'!$B$13)</f>
        <v/>
      </c>
      <c r="J53" s="18">
        <f>SSQ_Intermediate!F53+SSQ_Intermediate!I53+SSQ_Intermediate!K53+SSQ_Intermediate!L53+SSQ_Intermediate!M53+SSQ_Intermediate!N53+SSQ_Intermediate!O53</f>
        <v>0</v>
      </c>
      <c r="K53" s="102" t="str">
        <f>IF(AND(SSQ_Intermediate!V53="",SSQ_Intermediate!Y53="",SSQ_Intermediate!AA53="",SSQ_Intermediate!AB53="",SSQ_Intermediate!AC53="",SSQ_Intermediate!AD53="",SSQ_Intermediate!AE53=""),"",SUM(SSQ_Intermediate!V53,SSQ_Intermediate!Y53,SSQ_Intermediate!AA53,SSQ_Intermediate!AB53,SSQ_Intermediate!AC53,SSQ_Intermediate!AD53,SSQ_Intermediate!AE53))</f>
        <v/>
      </c>
      <c r="L53" s="102">
        <f>J53*'SSQ Metadata'!$B$14</f>
        <v>0</v>
      </c>
      <c r="M53" s="19" t="str">
        <f>IF(K53="","",K53*'SSQ Metadata'!$B$14)</f>
        <v/>
      </c>
      <c r="N53" s="16">
        <f>(B53+F53+J53)*'SSQ Metadata'!$B$15</f>
        <v>0</v>
      </c>
      <c r="O53" s="17" t="str">
        <f>IF(AND(C53="",G53="",K53=""),"",(C53+G53+K53)*'SSQ Metadata'!$B$15)</f>
        <v/>
      </c>
      <c r="P53" s="15" t="str">
        <f t="shared" si="0"/>
        <v/>
      </c>
      <c r="Q53" s="103" t="str">
        <f t="shared" si="1"/>
        <v/>
      </c>
      <c r="R53" s="103" t="str">
        <f t="shared" si="2"/>
        <v/>
      </c>
      <c r="S53" s="104" t="str">
        <f t="shared" si="3"/>
        <v/>
      </c>
    </row>
    <row r="54" spans="1:19" x14ac:dyDescent="0.2">
      <c r="A54" s="70">
        <v>51</v>
      </c>
      <c r="B54" s="99">
        <f>SSQ_Intermediate!B54+SSQ_Intermediate!G54+SSQ_Intermediate!H54+SSQ_Intermediate!I54+SSQ_Intermediate!J54+SSQ_Intermediate!P54+SSQ_Intermediate!Q54</f>
        <v>0</v>
      </c>
      <c r="C54" s="100" t="str">
        <f>IF(AND(SSQ_Intermediate!R54="",SSQ_Intermediate!W54="",SSQ_Intermediate!X54="",SSQ_Intermediate!Y54="",SSQ_Intermediate!Z54="",SSQ_Intermediate!AF54="",SSQ_Intermediate!AG54=""),"",SUM(SSQ_Intermediate!R54,SSQ_Intermediate!W54,SSQ_Intermediate!X54,SSQ_Intermediate!Y54,SSQ_Intermediate!Z54,SSQ_Intermediate!AF54,SSQ_Intermediate!AG54))</f>
        <v/>
      </c>
      <c r="D54" s="100">
        <f>B54*'SSQ Metadata'!$B$12</f>
        <v>0</v>
      </c>
      <c r="E54" s="22" t="str">
        <f>IF(C54="","",C54*'SSQ Metadata'!$B$12)</f>
        <v/>
      </c>
      <c r="F54" s="20">
        <f>SSQ_Intermediate!B54+SSQ_Intermediate!C54+SSQ_Intermediate!D54+SSQ_Intermediate!E54+SSQ_Intermediate!F54+SSQ_Intermediate!J54+SSQ_Intermediate!L54</f>
        <v>0</v>
      </c>
      <c r="G54" s="101" t="str">
        <f>IF(AND(SSQ_Intermediate!R54="",SSQ_Intermediate!S54="",SSQ_Intermediate!T54="",SSQ_Intermediate!U54="",SSQ_Intermediate!V54="",SSQ_Intermediate!Z54="",SSQ_Intermediate!AB54=""),"",SUM(SSQ_Intermediate!R54,SSQ_Intermediate!S54,SSQ_Intermediate!T54,SSQ_Intermediate!U54,SSQ_Intermediate!V54,SSQ_Intermediate!Z54,SSQ_Intermediate!AB54))</f>
        <v/>
      </c>
      <c r="H54" s="101">
        <f>F54*'SSQ Metadata'!$B$13</f>
        <v>0</v>
      </c>
      <c r="I54" s="21" t="str">
        <f>IF(G54="","",G54*'SSQ Metadata'!$B$13)</f>
        <v/>
      </c>
      <c r="J54" s="18">
        <f>SSQ_Intermediate!F54+SSQ_Intermediate!I54+SSQ_Intermediate!K54+SSQ_Intermediate!L54+SSQ_Intermediate!M54+SSQ_Intermediate!N54+SSQ_Intermediate!O54</f>
        <v>0</v>
      </c>
      <c r="K54" s="102" t="str">
        <f>IF(AND(SSQ_Intermediate!V54="",SSQ_Intermediate!Y54="",SSQ_Intermediate!AA54="",SSQ_Intermediate!AB54="",SSQ_Intermediate!AC54="",SSQ_Intermediate!AD54="",SSQ_Intermediate!AE54=""),"",SUM(SSQ_Intermediate!V54,SSQ_Intermediate!Y54,SSQ_Intermediate!AA54,SSQ_Intermediate!AB54,SSQ_Intermediate!AC54,SSQ_Intermediate!AD54,SSQ_Intermediate!AE54))</f>
        <v/>
      </c>
      <c r="L54" s="102">
        <f>J54*'SSQ Metadata'!$B$14</f>
        <v>0</v>
      </c>
      <c r="M54" s="19" t="str">
        <f>IF(K54="","",K54*'SSQ Metadata'!$B$14)</f>
        <v/>
      </c>
      <c r="N54" s="16">
        <f>(B54+F54+J54)*'SSQ Metadata'!$B$15</f>
        <v>0</v>
      </c>
      <c r="O54" s="17" t="str">
        <f>IF(AND(C54="",G54="",K54=""),"",(C54+G54+K54)*'SSQ Metadata'!$B$15)</f>
        <v/>
      </c>
      <c r="P54" s="15" t="str">
        <f t="shared" si="0"/>
        <v/>
      </c>
      <c r="Q54" s="103" t="str">
        <f t="shared" si="1"/>
        <v/>
      </c>
      <c r="R54" s="103" t="str">
        <f t="shared" si="2"/>
        <v/>
      </c>
      <c r="S54" s="104" t="str">
        <f t="shared" si="3"/>
        <v/>
      </c>
    </row>
    <row r="55" spans="1:19" x14ac:dyDescent="0.2">
      <c r="A55" s="70">
        <v>52</v>
      </c>
      <c r="B55" s="99">
        <f>SSQ_Intermediate!B55+SSQ_Intermediate!G55+SSQ_Intermediate!H55+SSQ_Intermediate!I55+SSQ_Intermediate!J55+SSQ_Intermediate!P55+SSQ_Intermediate!Q55</f>
        <v>0</v>
      </c>
      <c r="C55" s="100" t="str">
        <f>IF(AND(SSQ_Intermediate!R55="",SSQ_Intermediate!W55="",SSQ_Intermediate!X55="",SSQ_Intermediate!Y55="",SSQ_Intermediate!Z55="",SSQ_Intermediate!AF55="",SSQ_Intermediate!AG55=""),"",SUM(SSQ_Intermediate!R55,SSQ_Intermediate!W55,SSQ_Intermediate!X55,SSQ_Intermediate!Y55,SSQ_Intermediate!Z55,SSQ_Intermediate!AF55,SSQ_Intermediate!AG55))</f>
        <v/>
      </c>
      <c r="D55" s="100">
        <f>B55*'SSQ Metadata'!$B$12</f>
        <v>0</v>
      </c>
      <c r="E55" s="22" t="str">
        <f>IF(C55="","",C55*'SSQ Metadata'!$B$12)</f>
        <v/>
      </c>
      <c r="F55" s="20">
        <f>SSQ_Intermediate!B55+SSQ_Intermediate!C55+SSQ_Intermediate!D55+SSQ_Intermediate!E55+SSQ_Intermediate!F55+SSQ_Intermediate!J55+SSQ_Intermediate!L55</f>
        <v>0</v>
      </c>
      <c r="G55" s="101" t="str">
        <f>IF(AND(SSQ_Intermediate!R55="",SSQ_Intermediate!S55="",SSQ_Intermediate!T55="",SSQ_Intermediate!U55="",SSQ_Intermediate!V55="",SSQ_Intermediate!Z55="",SSQ_Intermediate!AB55=""),"",SUM(SSQ_Intermediate!R55,SSQ_Intermediate!S55,SSQ_Intermediate!T55,SSQ_Intermediate!U55,SSQ_Intermediate!V55,SSQ_Intermediate!Z55,SSQ_Intermediate!AB55))</f>
        <v/>
      </c>
      <c r="H55" s="101">
        <f>F55*'SSQ Metadata'!$B$13</f>
        <v>0</v>
      </c>
      <c r="I55" s="21" t="str">
        <f>IF(G55="","",G55*'SSQ Metadata'!$B$13)</f>
        <v/>
      </c>
      <c r="J55" s="18">
        <f>SSQ_Intermediate!F55+SSQ_Intermediate!I55+SSQ_Intermediate!K55+SSQ_Intermediate!L55+SSQ_Intermediate!M55+SSQ_Intermediate!N55+SSQ_Intermediate!O55</f>
        <v>0</v>
      </c>
      <c r="K55" s="102" t="str">
        <f>IF(AND(SSQ_Intermediate!V55="",SSQ_Intermediate!Y55="",SSQ_Intermediate!AA55="",SSQ_Intermediate!AB55="",SSQ_Intermediate!AC55="",SSQ_Intermediate!AD55="",SSQ_Intermediate!AE55=""),"",SUM(SSQ_Intermediate!V55,SSQ_Intermediate!Y55,SSQ_Intermediate!AA55,SSQ_Intermediate!AB55,SSQ_Intermediate!AC55,SSQ_Intermediate!AD55,SSQ_Intermediate!AE55))</f>
        <v/>
      </c>
      <c r="L55" s="102">
        <f>J55*'SSQ Metadata'!$B$14</f>
        <v>0</v>
      </c>
      <c r="M55" s="19" t="str">
        <f>IF(K55="","",K55*'SSQ Metadata'!$B$14)</f>
        <v/>
      </c>
      <c r="N55" s="16">
        <f>(B55+F55+J55)*'SSQ Metadata'!$B$15</f>
        <v>0</v>
      </c>
      <c r="O55" s="17" t="str">
        <f>IF(AND(C55="",G55="",K55=""),"",(C55+G55+K55)*'SSQ Metadata'!$B$15)</f>
        <v/>
      </c>
      <c r="P55" s="15" t="str">
        <f t="shared" si="0"/>
        <v/>
      </c>
      <c r="Q55" s="103" t="str">
        <f t="shared" si="1"/>
        <v/>
      </c>
      <c r="R55" s="103" t="str">
        <f t="shared" si="2"/>
        <v/>
      </c>
      <c r="S55" s="104" t="str">
        <f t="shared" si="3"/>
        <v/>
      </c>
    </row>
    <row r="56" spans="1:19" x14ac:dyDescent="0.2">
      <c r="A56" s="70">
        <v>53</v>
      </c>
      <c r="B56" s="99">
        <f>SSQ_Intermediate!B56+SSQ_Intermediate!G56+SSQ_Intermediate!H56+SSQ_Intermediate!I56+SSQ_Intermediate!J56+SSQ_Intermediate!P56+SSQ_Intermediate!Q56</f>
        <v>0</v>
      </c>
      <c r="C56" s="100" t="str">
        <f>IF(AND(SSQ_Intermediate!R56="",SSQ_Intermediate!W56="",SSQ_Intermediate!X56="",SSQ_Intermediate!Y56="",SSQ_Intermediate!Z56="",SSQ_Intermediate!AF56="",SSQ_Intermediate!AG56=""),"",SUM(SSQ_Intermediate!R56,SSQ_Intermediate!W56,SSQ_Intermediate!X56,SSQ_Intermediate!Y56,SSQ_Intermediate!Z56,SSQ_Intermediate!AF56,SSQ_Intermediate!AG56))</f>
        <v/>
      </c>
      <c r="D56" s="100">
        <f>B56*'SSQ Metadata'!$B$12</f>
        <v>0</v>
      </c>
      <c r="E56" s="22" t="str">
        <f>IF(C56="","",C56*'SSQ Metadata'!$B$12)</f>
        <v/>
      </c>
      <c r="F56" s="20">
        <f>SSQ_Intermediate!B56+SSQ_Intermediate!C56+SSQ_Intermediate!D56+SSQ_Intermediate!E56+SSQ_Intermediate!F56+SSQ_Intermediate!J56+SSQ_Intermediate!L56</f>
        <v>0</v>
      </c>
      <c r="G56" s="101" t="str">
        <f>IF(AND(SSQ_Intermediate!R56="",SSQ_Intermediate!S56="",SSQ_Intermediate!T56="",SSQ_Intermediate!U56="",SSQ_Intermediate!V56="",SSQ_Intermediate!Z56="",SSQ_Intermediate!AB56=""),"",SUM(SSQ_Intermediate!R56,SSQ_Intermediate!S56,SSQ_Intermediate!T56,SSQ_Intermediate!U56,SSQ_Intermediate!V56,SSQ_Intermediate!Z56,SSQ_Intermediate!AB56))</f>
        <v/>
      </c>
      <c r="H56" s="101">
        <f>F56*'SSQ Metadata'!$B$13</f>
        <v>0</v>
      </c>
      <c r="I56" s="21" t="str">
        <f>IF(G56="","",G56*'SSQ Metadata'!$B$13)</f>
        <v/>
      </c>
      <c r="J56" s="18">
        <f>SSQ_Intermediate!F56+SSQ_Intermediate!I56+SSQ_Intermediate!K56+SSQ_Intermediate!L56+SSQ_Intermediate!M56+SSQ_Intermediate!N56+SSQ_Intermediate!O56</f>
        <v>0</v>
      </c>
      <c r="K56" s="102" t="str">
        <f>IF(AND(SSQ_Intermediate!V56="",SSQ_Intermediate!Y56="",SSQ_Intermediate!AA56="",SSQ_Intermediate!AB56="",SSQ_Intermediate!AC56="",SSQ_Intermediate!AD56="",SSQ_Intermediate!AE56=""),"",SUM(SSQ_Intermediate!V56,SSQ_Intermediate!Y56,SSQ_Intermediate!AA56,SSQ_Intermediate!AB56,SSQ_Intermediate!AC56,SSQ_Intermediate!AD56,SSQ_Intermediate!AE56))</f>
        <v/>
      </c>
      <c r="L56" s="102">
        <f>J56*'SSQ Metadata'!$B$14</f>
        <v>0</v>
      </c>
      <c r="M56" s="19" t="str">
        <f>IF(K56="","",K56*'SSQ Metadata'!$B$14)</f>
        <v/>
      </c>
      <c r="N56" s="16">
        <f>(B56+F56+J56)*'SSQ Metadata'!$B$15</f>
        <v>0</v>
      </c>
      <c r="O56" s="17" t="str">
        <f>IF(AND(C56="",G56="",K56=""),"",(C56+G56+K56)*'SSQ Metadata'!$B$15)</f>
        <v/>
      </c>
      <c r="P56" s="15" t="str">
        <f t="shared" si="0"/>
        <v/>
      </c>
      <c r="Q56" s="103" t="str">
        <f t="shared" si="1"/>
        <v/>
      </c>
      <c r="R56" s="103" t="str">
        <f t="shared" si="2"/>
        <v/>
      </c>
      <c r="S56" s="104" t="str">
        <f t="shared" si="3"/>
        <v/>
      </c>
    </row>
    <row r="57" spans="1:19" x14ac:dyDescent="0.2">
      <c r="A57" s="70">
        <v>54</v>
      </c>
      <c r="B57" s="99">
        <f>SSQ_Intermediate!B57+SSQ_Intermediate!G57+SSQ_Intermediate!H57+SSQ_Intermediate!I57+SSQ_Intermediate!J57+SSQ_Intermediate!P57+SSQ_Intermediate!Q57</f>
        <v>0</v>
      </c>
      <c r="C57" s="100" t="str">
        <f>IF(AND(SSQ_Intermediate!R57="",SSQ_Intermediate!W57="",SSQ_Intermediate!X57="",SSQ_Intermediate!Y57="",SSQ_Intermediate!Z57="",SSQ_Intermediate!AF57="",SSQ_Intermediate!AG57=""),"",SUM(SSQ_Intermediate!R57,SSQ_Intermediate!W57,SSQ_Intermediate!X57,SSQ_Intermediate!Y57,SSQ_Intermediate!Z57,SSQ_Intermediate!AF57,SSQ_Intermediate!AG57))</f>
        <v/>
      </c>
      <c r="D57" s="100">
        <f>B57*'SSQ Metadata'!$B$12</f>
        <v>0</v>
      </c>
      <c r="E57" s="22" t="str">
        <f>IF(C57="","",C57*'SSQ Metadata'!$B$12)</f>
        <v/>
      </c>
      <c r="F57" s="20">
        <f>SSQ_Intermediate!B57+SSQ_Intermediate!C57+SSQ_Intermediate!D57+SSQ_Intermediate!E57+SSQ_Intermediate!F57+SSQ_Intermediate!J57+SSQ_Intermediate!L57</f>
        <v>0</v>
      </c>
      <c r="G57" s="101" t="str">
        <f>IF(AND(SSQ_Intermediate!R57="",SSQ_Intermediate!S57="",SSQ_Intermediate!T57="",SSQ_Intermediate!U57="",SSQ_Intermediate!V57="",SSQ_Intermediate!Z57="",SSQ_Intermediate!AB57=""),"",SUM(SSQ_Intermediate!R57,SSQ_Intermediate!S57,SSQ_Intermediate!T57,SSQ_Intermediate!U57,SSQ_Intermediate!V57,SSQ_Intermediate!Z57,SSQ_Intermediate!AB57))</f>
        <v/>
      </c>
      <c r="H57" s="101">
        <f>F57*'SSQ Metadata'!$B$13</f>
        <v>0</v>
      </c>
      <c r="I57" s="21" t="str">
        <f>IF(G57="","",G57*'SSQ Metadata'!$B$13)</f>
        <v/>
      </c>
      <c r="J57" s="18">
        <f>SSQ_Intermediate!F57+SSQ_Intermediate!I57+SSQ_Intermediate!K57+SSQ_Intermediate!L57+SSQ_Intermediate!M57+SSQ_Intermediate!N57+SSQ_Intermediate!O57</f>
        <v>0</v>
      </c>
      <c r="K57" s="102" t="str">
        <f>IF(AND(SSQ_Intermediate!V57="",SSQ_Intermediate!Y57="",SSQ_Intermediate!AA57="",SSQ_Intermediate!AB57="",SSQ_Intermediate!AC57="",SSQ_Intermediate!AD57="",SSQ_Intermediate!AE57=""),"",SUM(SSQ_Intermediate!V57,SSQ_Intermediate!Y57,SSQ_Intermediate!AA57,SSQ_Intermediate!AB57,SSQ_Intermediate!AC57,SSQ_Intermediate!AD57,SSQ_Intermediate!AE57))</f>
        <v/>
      </c>
      <c r="L57" s="102">
        <f>J57*'SSQ Metadata'!$B$14</f>
        <v>0</v>
      </c>
      <c r="M57" s="19" t="str">
        <f>IF(K57="","",K57*'SSQ Metadata'!$B$14)</f>
        <v/>
      </c>
      <c r="N57" s="16">
        <f>(B57+F57+J57)*'SSQ Metadata'!$B$15</f>
        <v>0</v>
      </c>
      <c r="O57" s="17" t="str">
        <f>IF(AND(C57="",G57="",K57=""),"",(C57+G57+K57)*'SSQ Metadata'!$B$15)</f>
        <v/>
      </c>
      <c r="P57" s="15" t="str">
        <f t="shared" si="0"/>
        <v/>
      </c>
      <c r="Q57" s="103" t="str">
        <f t="shared" si="1"/>
        <v/>
      </c>
      <c r="R57" s="103" t="str">
        <f t="shared" si="2"/>
        <v/>
      </c>
      <c r="S57" s="104" t="str">
        <f t="shared" si="3"/>
        <v/>
      </c>
    </row>
    <row r="58" spans="1:19" x14ac:dyDescent="0.2">
      <c r="A58" s="70">
        <v>55</v>
      </c>
      <c r="B58" s="99">
        <f>SSQ_Intermediate!B58+SSQ_Intermediate!G58+SSQ_Intermediate!H58+SSQ_Intermediate!I58+SSQ_Intermediate!J58+SSQ_Intermediate!P58+SSQ_Intermediate!Q58</f>
        <v>0</v>
      </c>
      <c r="C58" s="100" t="str">
        <f>IF(AND(SSQ_Intermediate!R58="",SSQ_Intermediate!W58="",SSQ_Intermediate!X58="",SSQ_Intermediate!Y58="",SSQ_Intermediate!Z58="",SSQ_Intermediate!AF58="",SSQ_Intermediate!AG58=""),"",SUM(SSQ_Intermediate!R58,SSQ_Intermediate!W58,SSQ_Intermediate!X58,SSQ_Intermediate!Y58,SSQ_Intermediate!Z58,SSQ_Intermediate!AF58,SSQ_Intermediate!AG58))</f>
        <v/>
      </c>
      <c r="D58" s="100">
        <f>B58*'SSQ Metadata'!$B$12</f>
        <v>0</v>
      </c>
      <c r="E58" s="22" t="str">
        <f>IF(C58="","",C58*'SSQ Metadata'!$B$12)</f>
        <v/>
      </c>
      <c r="F58" s="20">
        <f>SSQ_Intermediate!B58+SSQ_Intermediate!C58+SSQ_Intermediate!D58+SSQ_Intermediate!E58+SSQ_Intermediate!F58+SSQ_Intermediate!J58+SSQ_Intermediate!L58</f>
        <v>0</v>
      </c>
      <c r="G58" s="101" t="str">
        <f>IF(AND(SSQ_Intermediate!R58="",SSQ_Intermediate!S58="",SSQ_Intermediate!T58="",SSQ_Intermediate!U58="",SSQ_Intermediate!V58="",SSQ_Intermediate!Z58="",SSQ_Intermediate!AB58=""),"",SUM(SSQ_Intermediate!R58,SSQ_Intermediate!S58,SSQ_Intermediate!T58,SSQ_Intermediate!U58,SSQ_Intermediate!V58,SSQ_Intermediate!Z58,SSQ_Intermediate!AB58))</f>
        <v/>
      </c>
      <c r="H58" s="101">
        <f>F58*'SSQ Metadata'!$B$13</f>
        <v>0</v>
      </c>
      <c r="I58" s="21" t="str">
        <f>IF(G58="","",G58*'SSQ Metadata'!$B$13)</f>
        <v/>
      </c>
      <c r="J58" s="18">
        <f>SSQ_Intermediate!F58+SSQ_Intermediate!I58+SSQ_Intermediate!K58+SSQ_Intermediate!L58+SSQ_Intermediate!M58+SSQ_Intermediate!N58+SSQ_Intermediate!O58</f>
        <v>0</v>
      </c>
      <c r="K58" s="102" t="str">
        <f>IF(AND(SSQ_Intermediate!V58="",SSQ_Intermediate!Y58="",SSQ_Intermediate!AA58="",SSQ_Intermediate!AB58="",SSQ_Intermediate!AC58="",SSQ_Intermediate!AD58="",SSQ_Intermediate!AE58=""),"",SUM(SSQ_Intermediate!V58,SSQ_Intermediate!Y58,SSQ_Intermediate!AA58,SSQ_Intermediate!AB58,SSQ_Intermediate!AC58,SSQ_Intermediate!AD58,SSQ_Intermediate!AE58))</f>
        <v/>
      </c>
      <c r="L58" s="102">
        <f>J58*'SSQ Metadata'!$B$14</f>
        <v>0</v>
      </c>
      <c r="M58" s="19" t="str">
        <f>IF(K58="","",K58*'SSQ Metadata'!$B$14)</f>
        <v/>
      </c>
      <c r="N58" s="16">
        <f>(B58+F58+J58)*'SSQ Metadata'!$B$15</f>
        <v>0</v>
      </c>
      <c r="O58" s="17" t="str">
        <f>IF(AND(C58="",G58="",K58=""),"",(C58+G58+K58)*'SSQ Metadata'!$B$15)</f>
        <v/>
      </c>
      <c r="P58" s="15" t="str">
        <f t="shared" si="0"/>
        <v/>
      </c>
      <c r="Q58" s="103" t="str">
        <f t="shared" si="1"/>
        <v/>
      </c>
      <c r="R58" s="103" t="str">
        <f t="shared" si="2"/>
        <v/>
      </c>
      <c r="S58" s="104" t="str">
        <f t="shared" si="3"/>
        <v/>
      </c>
    </row>
    <row r="59" spans="1:19" x14ac:dyDescent="0.2">
      <c r="A59" s="70">
        <v>56</v>
      </c>
      <c r="B59" s="99">
        <f>SSQ_Intermediate!B59+SSQ_Intermediate!G59+SSQ_Intermediate!H59+SSQ_Intermediate!I59+SSQ_Intermediate!J59+SSQ_Intermediate!P59+SSQ_Intermediate!Q59</f>
        <v>0</v>
      </c>
      <c r="C59" s="100" t="str">
        <f>IF(AND(SSQ_Intermediate!R59="",SSQ_Intermediate!W59="",SSQ_Intermediate!X59="",SSQ_Intermediate!Y59="",SSQ_Intermediate!Z59="",SSQ_Intermediate!AF59="",SSQ_Intermediate!AG59=""),"",SUM(SSQ_Intermediate!R59,SSQ_Intermediate!W59,SSQ_Intermediate!X59,SSQ_Intermediate!Y59,SSQ_Intermediate!Z59,SSQ_Intermediate!AF59,SSQ_Intermediate!AG59))</f>
        <v/>
      </c>
      <c r="D59" s="100">
        <f>B59*'SSQ Metadata'!$B$12</f>
        <v>0</v>
      </c>
      <c r="E59" s="22" t="str">
        <f>IF(C59="","",C59*'SSQ Metadata'!$B$12)</f>
        <v/>
      </c>
      <c r="F59" s="20">
        <f>SSQ_Intermediate!B59+SSQ_Intermediate!C59+SSQ_Intermediate!D59+SSQ_Intermediate!E59+SSQ_Intermediate!F59+SSQ_Intermediate!J59+SSQ_Intermediate!L59</f>
        <v>0</v>
      </c>
      <c r="G59" s="101" t="str">
        <f>IF(AND(SSQ_Intermediate!R59="",SSQ_Intermediate!S59="",SSQ_Intermediate!T59="",SSQ_Intermediate!U59="",SSQ_Intermediate!V59="",SSQ_Intermediate!Z59="",SSQ_Intermediate!AB59=""),"",SUM(SSQ_Intermediate!R59,SSQ_Intermediate!S59,SSQ_Intermediate!T59,SSQ_Intermediate!U59,SSQ_Intermediate!V59,SSQ_Intermediate!Z59,SSQ_Intermediate!AB59))</f>
        <v/>
      </c>
      <c r="H59" s="101">
        <f>F59*'SSQ Metadata'!$B$13</f>
        <v>0</v>
      </c>
      <c r="I59" s="21" t="str">
        <f>IF(G59="","",G59*'SSQ Metadata'!$B$13)</f>
        <v/>
      </c>
      <c r="J59" s="18">
        <f>SSQ_Intermediate!F59+SSQ_Intermediate!I59+SSQ_Intermediate!K59+SSQ_Intermediate!L59+SSQ_Intermediate!M59+SSQ_Intermediate!N59+SSQ_Intermediate!O59</f>
        <v>0</v>
      </c>
      <c r="K59" s="102" t="str">
        <f>IF(AND(SSQ_Intermediate!V59="",SSQ_Intermediate!Y59="",SSQ_Intermediate!AA59="",SSQ_Intermediate!AB59="",SSQ_Intermediate!AC59="",SSQ_Intermediate!AD59="",SSQ_Intermediate!AE59=""),"",SUM(SSQ_Intermediate!V59,SSQ_Intermediate!Y59,SSQ_Intermediate!AA59,SSQ_Intermediate!AB59,SSQ_Intermediate!AC59,SSQ_Intermediate!AD59,SSQ_Intermediate!AE59))</f>
        <v/>
      </c>
      <c r="L59" s="102">
        <f>J59*'SSQ Metadata'!$B$14</f>
        <v>0</v>
      </c>
      <c r="M59" s="19" t="str">
        <f>IF(K59="","",K59*'SSQ Metadata'!$B$14)</f>
        <v/>
      </c>
      <c r="N59" s="16">
        <f>(B59+F59+J59)*'SSQ Metadata'!$B$15</f>
        <v>0</v>
      </c>
      <c r="O59" s="17" t="str">
        <f>IF(AND(C59="",G59="",K59=""),"",(C59+G59+K59)*'SSQ Metadata'!$B$15)</f>
        <v/>
      </c>
      <c r="P59" s="15" t="str">
        <f t="shared" si="0"/>
        <v/>
      </c>
      <c r="Q59" s="103" t="str">
        <f t="shared" si="1"/>
        <v/>
      </c>
      <c r="R59" s="103" t="str">
        <f t="shared" si="2"/>
        <v/>
      </c>
      <c r="S59" s="104" t="str">
        <f t="shared" si="3"/>
        <v/>
      </c>
    </row>
    <row r="60" spans="1:19" x14ac:dyDescent="0.2">
      <c r="A60" s="70">
        <v>57</v>
      </c>
      <c r="B60" s="99">
        <f>SSQ_Intermediate!B60+SSQ_Intermediate!G60+SSQ_Intermediate!H60+SSQ_Intermediate!I60+SSQ_Intermediate!J60+SSQ_Intermediate!P60+SSQ_Intermediate!Q60</f>
        <v>0</v>
      </c>
      <c r="C60" s="100" t="str">
        <f>IF(AND(SSQ_Intermediate!R60="",SSQ_Intermediate!W60="",SSQ_Intermediate!X60="",SSQ_Intermediate!Y60="",SSQ_Intermediate!Z60="",SSQ_Intermediate!AF60="",SSQ_Intermediate!AG60=""),"",SUM(SSQ_Intermediate!R60,SSQ_Intermediate!W60,SSQ_Intermediate!X60,SSQ_Intermediate!Y60,SSQ_Intermediate!Z60,SSQ_Intermediate!AF60,SSQ_Intermediate!AG60))</f>
        <v/>
      </c>
      <c r="D60" s="100">
        <f>B60*'SSQ Metadata'!$B$12</f>
        <v>0</v>
      </c>
      <c r="E60" s="22" t="str">
        <f>IF(C60="","",C60*'SSQ Metadata'!$B$12)</f>
        <v/>
      </c>
      <c r="F60" s="20">
        <f>SSQ_Intermediate!B60+SSQ_Intermediate!C60+SSQ_Intermediate!D60+SSQ_Intermediate!E60+SSQ_Intermediate!F60+SSQ_Intermediate!J60+SSQ_Intermediate!L60</f>
        <v>0</v>
      </c>
      <c r="G60" s="101" t="str">
        <f>IF(AND(SSQ_Intermediate!R60="",SSQ_Intermediate!S60="",SSQ_Intermediate!T60="",SSQ_Intermediate!U60="",SSQ_Intermediate!V60="",SSQ_Intermediate!Z60="",SSQ_Intermediate!AB60=""),"",SUM(SSQ_Intermediate!R60,SSQ_Intermediate!S60,SSQ_Intermediate!T60,SSQ_Intermediate!U60,SSQ_Intermediate!V60,SSQ_Intermediate!Z60,SSQ_Intermediate!AB60))</f>
        <v/>
      </c>
      <c r="H60" s="101">
        <f>F60*'SSQ Metadata'!$B$13</f>
        <v>0</v>
      </c>
      <c r="I60" s="21" t="str">
        <f>IF(G60="","",G60*'SSQ Metadata'!$B$13)</f>
        <v/>
      </c>
      <c r="J60" s="18">
        <f>SSQ_Intermediate!F60+SSQ_Intermediate!I60+SSQ_Intermediate!K60+SSQ_Intermediate!L60+SSQ_Intermediate!M60+SSQ_Intermediate!N60+SSQ_Intermediate!O60</f>
        <v>0</v>
      </c>
      <c r="K60" s="102" t="str">
        <f>IF(AND(SSQ_Intermediate!V60="",SSQ_Intermediate!Y60="",SSQ_Intermediate!AA60="",SSQ_Intermediate!AB60="",SSQ_Intermediate!AC60="",SSQ_Intermediate!AD60="",SSQ_Intermediate!AE60=""),"",SUM(SSQ_Intermediate!V60,SSQ_Intermediate!Y60,SSQ_Intermediate!AA60,SSQ_Intermediate!AB60,SSQ_Intermediate!AC60,SSQ_Intermediate!AD60,SSQ_Intermediate!AE60))</f>
        <v/>
      </c>
      <c r="L60" s="102">
        <f>J60*'SSQ Metadata'!$B$14</f>
        <v>0</v>
      </c>
      <c r="M60" s="19" t="str">
        <f>IF(K60="","",K60*'SSQ Metadata'!$B$14)</f>
        <v/>
      </c>
      <c r="N60" s="16">
        <f>(B60+F60+J60)*'SSQ Metadata'!$B$15</f>
        <v>0</v>
      </c>
      <c r="O60" s="17" t="str">
        <f>IF(AND(C60="",G60="",K60=""),"",(C60+G60+K60)*'SSQ Metadata'!$B$15)</f>
        <v/>
      </c>
      <c r="P60" s="15" t="str">
        <f t="shared" si="0"/>
        <v/>
      </c>
      <c r="Q60" s="103" t="str">
        <f t="shared" si="1"/>
        <v/>
      </c>
      <c r="R60" s="103" t="str">
        <f t="shared" si="2"/>
        <v/>
      </c>
      <c r="S60" s="104" t="str">
        <f t="shared" si="3"/>
        <v/>
      </c>
    </row>
    <row r="61" spans="1:19" x14ac:dyDescent="0.2">
      <c r="A61" s="70">
        <v>58</v>
      </c>
      <c r="B61" s="99">
        <f>SSQ_Intermediate!B61+SSQ_Intermediate!G61+SSQ_Intermediate!H61+SSQ_Intermediate!I61+SSQ_Intermediate!J61+SSQ_Intermediate!P61+SSQ_Intermediate!Q61</f>
        <v>0</v>
      </c>
      <c r="C61" s="100" t="str">
        <f>IF(AND(SSQ_Intermediate!R61="",SSQ_Intermediate!W61="",SSQ_Intermediate!X61="",SSQ_Intermediate!Y61="",SSQ_Intermediate!Z61="",SSQ_Intermediate!AF61="",SSQ_Intermediate!AG61=""),"",SUM(SSQ_Intermediate!R61,SSQ_Intermediate!W61,SSQ_Intermediate!X61,SSQ_Intermediate!Y61,SSQ_Intermediate!Z61,SSQ_Intermediate!AF61,SSQ_Intermediate!AG61))</f>
        <v/>
      </c>
      <c r="D61" s="100">
        <f>B61*'SSQ Metadata'!$B$12</f>
        <v>0</v>
      </c>
      <c r="E61" s="22" t="str">
        <f>IF(C61="","",C61*'SSQ Metadata'!$B$12)</f>
        <v/>
      </c>
      <c r="F61" s="20">
        <f>SSQ_Intermediate!B61+SSQ_Intermediate!C61+SSQ_Intermediate!D61+SSQ_Intermediate!E61+SSQ_Intermediate!F61+SSQ_Intermediate!J61+SSQ_Intermediate!L61</f>
        <v>0</v>
      </c>
      <c r="G61" s="101" t="str">
        <f>IF(AND(SSQ_Intermediate!R61="",SSQ_Intermediate!S61="",SSQ_Intermediate!T61="",SSQ_Intermediate!U61="",SSQ_Intermediate!V61="",SSQ_Intermediate!Z61="",SSQ_Intermediate!AB61=""),"",SUM(SSQ_Intermediate!R61,SSQ_Intermediate!S61,SSQ_Intermediate!T61,SSQ_Intermediate!U61,SSQ_Intermediate!V61,SSQ_Intermediate!Z61,SSQ_Intermediate!AB61))</f>
        <v/>
      </c>
      <c r="H61" s="101">
        <f>F61*'SSQ Metadata'!$B$13</f>
        <v>0</v>
      </c>
      <c r="I61" s="21" t="str">
        <f>IF(G61="","",G61*'SSQ Metadata'!$B$13)</f>
        <v/>
      </c>
      <c r="J61" s="18">
        <f>SSQ_Intermediate!F61+SSQ_Intermediate!I61+SSQ_Intermediate!K61+SSQ_Intermediate!L61+SSQ_Intermediate!M61+SSQ_Intermediate!N61+SSQ_Intermediate!O61</f>
        <v>0</v>
      </c>
      <c r="K61" s="102" t="str">
        <f>IF(AND(SSQ_Intermediate!V61="",SSQ_Intermediate!Y61="",SSQ_Intermediate!AA61="",SSQ_Intermediate!AB61="",SSQ_Intermediate!AC61="",SSQ_Intermediate!AD61="",SSQ_Intermediate!AE61=""),"",SUM(SSQ_Intermediate!V61,SSQ_Intermediate!Y61,SSQ_Intermediate!AA61,SSQ_Intermediate!AB61,SSQ_Intermediate!AC61,SSQ_Intermediate!AD61,SSQ_Intermediate!AE61))</f>
        <v/>
      </c>
      <c r="L61" s="102">
        <f>J61*'SSQ Metadata'!$B$14</f>
        <v>0</v>
      </c>
      <c r="M61" s="19" t="str">
        <f>IF(K61="","",K61*'SSQ Metadata'!$B$14)</f>
        <v/>
      </c>
      <c r="N61" s="16">
        <f>(B61+F61+J61)*'SSQ Metadata'!$B$15</f>
        <v>0</v>
      </c>
      <c r="O61" s="17" t="str">
        <f>IF(AND(C61="",G61="",K61=""),"",(C61+G61+K61)*'SSQ Metadata'!$B$15)</f>
        <v/>
      </c>
      <c r="P61" s="15" t="str">
        <f t="shared" si="0"/>
        <v/>
      </c>
      <c r="Q61" s="103" t="str">
        <f t="shared" si="1"/>
        <v/>
      </c>
      <c r="R61" s="103" t="str">
        <f t="shared" si="2"/>
        <v/>
      </c>
      <c r="S61" s="104" t="str">
        <f t="shared" si="3"/>
        <v/>
      </c>
    </row>
    <row r="62" spans="1:19" x14ac:dyDescent="0.2">
      <c r="A62" s="70">
        <v>59</v>
      </c>
      <c r="B62" s="99">
        <f>SSQ_Intermediate!B62+SSQ_Intermediate!G62+SSQ_Intermediate!H62+SSQ_Intermediate!I62+SSQ_Intermediate!J62+SSQ_Intermediate!P62+SSQ_Intermediate!Q62</f>
        <v>0</v>
      </c>
      <c r="C62" s="100" t="str">
        <f>IF(AND(SSQ_Intermediate!R62="",SSQ_Intermediate!W62="",SSQ_Intermediate!X62="",SSQ_Intermediate!Y62="",SSQ_Intermediate!Z62="",SSQ_Intermediate!AF62="",SSQ_Intermediate!AG62=""),"",SUM(SSQ_Intermediate!R62,SSQ_Intermediate!W62,SSQ_Intermediate!X62,SSQ_Intermediate!Y62,SSQ_Intermediate!Z62,SSQ_Intermediate!AF62,SSQ_Intermediate!AG62))</f>
        <v/>
      </c>
      <c r="D62" s="100">
        <f>B62*'SSQ Metadata'!$B$12</f>
        <v>0</v>
      </c>
      <c r="E62" s="22" t="str">
        <f>IF(C62="","",C62*'SSQ Metadata'!$B$12)</f>
        <v/>
      </c>
      <c r="F62" s="20">
        <f>SSQ_Intermediate!B62+SSQ_Intermediate!C62+SSQ_Intermediate!D62+SSQ_Intermediate!E62+SSQ_Intermediate!F62+SSQ_Intermediate!J62+SSQ_Intermediate!L62</f>
        <v>0</v>
      </c>
      <c r="G62" s="101" t="str">
        <f>IF(AND(SSQ_Intermediate!R62="",SSQ_Intermediate!S62="",SSQ_Intermediate!T62="",SSQ_Intermediate!U62="",SSQ_Intermediate!V62="",SSQ_Intermediate!Z62="",SSQ_Intermediate!AB62=""),"",SUM(SSQ_Intermediate!R62,SSQ_Intermediate!S62,SSQ_Intermediate!T62,SSQ_Intermediate!U62,SSQ_Intermediate!V62,SSQ_Intermediate!Z62,SSQ_Intermediate!AB62))</f>
        <v/>
      </c>
      <c r="H62" s="101">
        <f>F62*'SSQ Metadata'!$B$13</f>
        <v>0</v>
      </c>
      <c r="I62" s="21" t="str">
        <f>IF(G62="","",G62*'SSQ Metadata'!$B$13)</f>
        <v/>
      </c>
      <c r="J62" s="18">
        <f>SSQ_Intermediate!F62+SSQ_Intermediate!I62+SSQ_Intermediate!K62+SSQ_Intermediate!L62+SSQ_Intermediate!M62+SSQ_Intermediate!N62+SSQ_Intermediate!O62</f>
        <v>0</v>
      </c>
      <c r="K62" s="102" t="str">
        <f>IF(AND(SSQ_Intermediate!V62="",SSQ_Intermediate!Y62="",SSQ_Intermediate!AA62="",SSQ_Intermediate!AB62="",SSQ_Intermediate!AC62="",SSQ_Intermediate!AD62="",SSQ_Intermediate!AE62=""),"",SUM(SSQ_Intermediate!V62,SSQ_Intermediate!Y62,SSQ_Intermediate!AA62,SSQ_Intermediate!AB62,SSQ_Intermediate!AC62,SSQ_Intermediate!AD62,SSQ_Intermediate!AE62))</f>
        <v/>
      </c>
      <c r="L62" s="102">
        <f>J62*'SSQ Metadata'!$B$14</f>
        <v>0</v>
      </c>
      <c r="M62" s="19" t="str">
        <f>IF(K62="","",K62*'SSQ Metadata'!$B$14)</f>
        <v/>
      </c>
      <c r="N62" s="16">
        <f>(B62+F62+J62)*'SSQ Metadata'!$B$15</f>
        <v>0</v>
      </c>
      <c r="O62" s="17" t="str">
        <f>IF(AND(C62="",G62="",K62=""),"",(C62+G62+K62)*'SSQ Metadata'!$B$15)</f>
        <v/>
      </c>
      <c r="P62" s="15" t="str">
        <f t="shared" si="0"/>
        <v/>
      </c>
      <c r="Q62" s="103" t="str">
        <f t="shared" si="1"/>
        <v/>
      </c>
      <c r="R62" s="103" t="str">
        <f t="shared" si="2"/>
        <v/>
      </c>
      <c r="S62" s="104" t="str">
        <f t="shared" si="3"/>
        <v/>
      </c>
    </row>
    <row r="63" spans="1:19" x14ac:dyDescent="0.2">
      <c r="A63" s="70">
        <v>60</v>
      </c>
      <c r="B63" s="99">
        <f>SSQ_Intermediate!B63+SSQ_Intermediate!G63+SSQ_Intermediate!H63+SSQ_Intermediate!I63+SSQ_Intermediate!J63+SSQ_Intermediate!P63+SSQ_Intermediate!Q63</f>
        <v>0</v>
      </c>
      <c r="C63" s="100" t="str">
        <f>IF(AND(SSQ_Intermediate!R63="",SSQ_Intermediate!W63="",SSQ_Intermediate!X63="",SSQ_Intermediate!Y63="",SSQ_Intermediate!Z63="",SSQ_Intermediate!AF63="",SSQ_Intermediate!AG63=""),"",SUM(SSQ_Intermediate!R63,SSQ_Intermediate!W63,SSQ_Intermediate!X63,SSQ_Intermediate!Y63,SSQ_Intermediate!Z63,SSQ_Intermediate!AF63,SSQ_Intermediate!AG63))</f>
        <v/>
      </c>
      <c r="D63" s="100">
        <f>B63*'SSQ Metadata'!$B$12</f>
        <v>0</v>
      </c>
      <c r="E63" s="22" t="str">
        <f>IF(C63="","",C63*'SSQ Metadata'!$B$12)</f>
        <v/>
      </c>
      <c r="F63" s="20">
        <f>SSQ_Intermediate!B63+SSQ_Intermediate!C63+SSQ_Intermediate!D63+SSQ_Intermediate!E63+SSQ_Intermediate!F63+SSQ_Intermediate!J63+SSQ_Intermediate!L63</f>
        <v>0</v>
      </c>
      <c r="G63" s="101" t="str">
        <f>IF(AND(SSQ_Intermediate!R63="",SSQ_Intermediate!S63="",SSQ_Intermediate!T63="",SSQ_Intermediate!U63="",SSQ_Intermediate!V63="",SSQ_Intermediate!Z63="",SSQ_Intermediate!AB63=""),"",SUM(SSQ_Intermediate!R63,SSQ_Intermediate!S63,SSQ_Intermediate!T63,SSQ_Intermediate!U63,SSQ_Intermediate!V63,SSQ_Intermediate!Z63,SSQ_Intermediate!AB63))</f>
        <v/>
      </c>
      <c r="H63" s="101">
        <f>F63*'SSQ Metadata'!$B$13</f>
        <v>0</v>
      </c>
      <c r="I63" s="21" t="str">
        <f>IF(G63="","",G63*'SSQ Metadata'!$B$13)</f>
        <v/>
      </c>
      <c r="J63" s="18">
        <f>SSQ_Intermediate!F63+SSQ_Intermediate!I63+SSQ_Intermediate!K63+SSQ_Intermediate!L63+SSQ_Intermediate!M63+SSQ_Intermediate!N63+SSQ_Intermediate!O63</f>
        <v>0</v>
      </c>
      <c r="K63" s="102" t="str">
        <f>IF(AND(SSQ_Intermediate!V63="",SSQ_Intermediate!Y63="",SSQ_Intermediate!AA63="",SSQ_Intermediate!AB63="",SSQ_Intermediate!AC63="",SSQ_Intermediate!AD63="",SSQ_Intermediate!AE63=""),"",SUM(SSQ_Intermediate!V63,SSQ_Intermediate!Y63,SSQ_Intermediate!AA63,SSQ_Intermediate!AB63,SSQ_Intermediate!AC63,SSQ_Intermediate!AD63,SSQ_Intermediate!AE63))</f>
        <v/>
      </c>
      <c r="L63" s="102">
        <f>J63*'SSQ Metadata'!$B$14</f>
        <v>0</v>
      </c>
      <c r="M63" s="19" t="str">
        <f>IF(K63="","",K63*'SSQ Metadata'!$B$14)</f>
        <v/>
      </c>
      <c r="N63" s="16">
        <f>(B63+F63+J63)*'SSQ Metadata'!$B$15</f>
        <v>0</v>
      </c>
      <c r="O63" s="17" t="str">
        <f>IF(AND(C63="",G63="",K63=""),"",(C63+G63+K63)*'SSQ Metadata'!$B$15)</f>
        <v/>
      </c>
      <c r="P63" s="15" t="str">
        <f t="shared" si="0"/>
        <v/>
      </c>
      <c r="Q63" s="103" t="str">
        <f t="shared" si="1"/>
        <v/>
      </c>
      <c r="R63" s="103" t="str">
        <f t="shared" si="2"/>
        <v/>
      </c>
      <c r="S63" s="104" t="str">
        <f t="shared" si="3"/>
        <v/>
      </c>
    </row>
    <row r="64" spans="1:19" x14ac:dyDescent="0.2">
      <c r="A64" s="70">
        <v>61</v>
      </c>
      <c r="B64" s="99">
        <f>SSQ_Intermediate!B64+SSQ_Intermediate!G64+SSQ_Intermediate!H64+SSQ_Intermediate!I64+SSQ_Intermediate!J64+SSQ_Intermediate!P64+SSQ_Intermediate!Q64</f>
        <v>0</v>
      </c>
      <c r="C64" s="100" t="str">
        <f>IF(AND(SSQ_Intermediate!R64="",SSQ_Intermediate!W64="",SSQ_Intermediate!X64="",SSQ_Intermediate!Y64="",SSQ_Intermediate!Z64="",SSQ_Intermediate!AF64="",SSQ_Intermediate!AG64=""),"",SUM(SSQ_Intermediate!R64,SSQ_Intermediate!W64,SSQ_Intermediate!X64,SSQ_Intermediate!Y64,SSQ_Intermediate!Z64,SSQ_Intermediate!AF64,SSQ_Intermediate!AG64))</f>
        <v/>
      </c>
      <c r="D64" s="100">
        <f>B64*'SSQ Metadata'!$B$12</f>
        <v>0</v>
      </c>
      <c r="E64" s="22" t="str">
        <f>IF(C64="","",C64*'SSQ Metadata'!$B$12)</f>
        <v/>
      </c>
      <c r="F64" s="20">
        <f>SSQ_Intermediate!B64+SSQ_Intermediate!C64+SSQ_Intermediate!D64+SSQ_Intermediate!E64+SSQ_Intermediate!F64+SSQ_Intermediate!J64+SSQ_Intermediate!L64</f>
        <v>0</v>
      </c>
      <c r="G64" s="101" t="str">
        <f>IF(AND(SSQ_Intermediate!R64="",SSQ_Intermediate!S64="",SSQ_Intermediate!T64="",SSQ_Intermediate!U64="",SSQ_Intermediate!V64="",SSQ_Intermediate!Z64="",SSQ_Intermediate!AB64=""),"",SUM(SSQ_Intermediate!R64,SSQ_Intermediate!S64,SSQ_Intermediate!T64,SSQ_Intermediate!U64,SSQ_Intermediate!V64,SSQ_Intermediate!Z64,SSQ_Intermediate!AB64))</f>
        <v/>
      </c>
      <c r="H64" s="101">
        <f>F64*'SSQ Metadata'!$B$13</f>
        <v>0</v>
      </c>
      <c r="I64" s="21" t="str">
        <f>IF(G64="","",G64*'SSQ Metadata'!$B$13)</f>
        <v/>
      </c>
      <c r="J64" s="18">
        <f>SSQ_Intermediate!F64+SSQ_Intermediate!I64+SSQ_Intermediate!K64+SSQ_Intermediate!L64+SSQ_Intermediate!M64+SSQ_Intermediate!N64+SSQ_Intermediate!O64</f>
        <v>0</v>
      </c>
      <c r="K64" s="102" t="str">
        <f>IF(AND(SSQ_Intermediate!V64="",SSQ_Intermediate!Y64="",SSQ_Intermediate!AA64="",SSQ_Intermediate!AB64="",SSQ_Intermediate!AC64="",SSQ_Intermediate!AD64="",SSQ_Intermediate!AE64=""),"",SUM(SSQ_Intermediate!V64,SSQ_Intermediate!Y64,SSQ_Intermediate!AA64,SSQ_Intermediate!AB64,SSQ_Intermediate!AC64,SSQ_Intermediate!AD64,SSQ_Intermediate!AE64))</f>
        <v/>
      </c>
      <c r="L64" s="102">
        <f>J64*'SSQ Metadata'!$B$14</f>
        <v>0</v>
      </c>
      <c r="M64" s="19" t="str">
        <f>IF(K64="","",K64*'SSQ Metadata'!$B$14)</f>
        <v/>
      </c>
      <c r="N64" s="16">
        <f>(B64+F64+J64)*'SSQ Metadata'!$B$15</f>
        <v>0</v>
      </c>
      <c r="O64" s="17" t="str">
        <f>IF(AND(C64="",G64="",K64=""),"",(C64+G64+K64)*'SSQ Metadata'!$B$15)</f>
        <v/>
      </c>
      <c r="P64" s="15" t="str">
        <f t="shared" si="0"/>
        <v/>
      </c>
      <c r="Q64" s="103" t="str">
        <f t="shared" si="1"/>
        <v/>
      </c>
      <c r="R64" s="103" t="str">
        <f t="shared" si="2"/>
        <v/>
      </c>
      <c r="S64" s="104" t="str">
        <f t="shared" si="3"/>
        <v/>
      </c>
    </row>
    <row r="65" spans="1:19" x14ac:dyDescent="0.2">
      <c r="A65" s="70">
        <v>62</v>
      </c>
      <c r="B65" s="99">
        <f>SSQ_Intermediate!B65+SSQ_Intermediate!G65+SSQ_Intermediate!H65+SSQ_Intermediate!I65+SSQ_Intermediate!J65+SSQ_Intermediate!P65+SSQ_Intermediate!Q65</f>
        <v>0</v>
      </c>
      <c r="C65" s="100" t="str">
        <f>IF(AND(SSQ_Intermediate!R65="",SSQ_Intermediate!W65="",SSQ_Intermediate!X65="",SSQ_Intermediate!Y65="",SSQ_Intermediate!Z65="",SSQ_Intermediate!AF65="",SSQ_Intermediate!AG65=""),"",SUM(SSQ_Intermediate!R65,SSQ_Intermediate!W65,SSQ_Intermediate!X65,SSQ_Intermediate!Y65,SSQ_Intermediate!Z65,SSQ_Intermediate!AF65,SSQ_Intermediate!AG65))</f>
        <v/>
      </c>
      <c r="D65" s="100">
        <f>B65*'SSQ Metadata'!$B$12</f>
        <v>0</v>
      </c>
      <c r="E65" s="22" t="str">
        <f>IF(C65="","",C65*'SSQ Metadata'!$B$12)</f>
        <v/>
      </c>
      <c r="F65" s="20">
        <f>SSQ_Intermediate!B65+SSQ_Intermediate!C65+SSQ_Intermediate!D65+SSQ_Intermediate!E65+SSQ_Intermediate!F65+SSQ_Intermediate!J65+SSQ_Intermediate!L65</f>
        <v>0</v>
      </c>
      <c r="G65" s="101" t="str">
        <f>IF(AND(SSQ_Intermediate!R65="",SSQ_Intermediate!S65="",SSQ_Intermediate!T65="",SSQ_Intermediate!U65="",SSQ_Intermediate!V65="",SSQ_Intermediate!Z65="",SSQ_Intermediate!AB65=""),"",SUM(SSQ_Intermediate!R65,SSQ_Intermediate!S65,SSQ_Intermediate!T65,SSQ_Intermediate!U65,SSQ_Intermediate!V65,SSQ_Intermediate!Z65,SSQ_Intermediate!AB65))</f>
        <v/>
      </c>
      <c r="H65" s="101">
        <f>F65*'SSQ Metadata'!$B$13</f>
        <v>0</v>
      </c>
      <c r="I65" s="21" t="str">
        <f>IF(G65="","",G65*'SSQ Metadata'!$B$13)</f>
        <v/>
      </c>
      <c r="J65" s="18">
        <f>SSQ_Intermediate!F65+SSQ_Intermediate!I65+SSQ_Intermediate!K65+SSQ_Intermediate!L65+SSQ_Intermediate!M65+SSQ_Intermediate!N65+SSQ_Intermediate!O65</f>
        <v>0</v>
      </c>
      <c r="K65" s="102" t="str">
        <f>IF(AND(SSQ_Intermediate!V65="",SSQ_Intermediate!Y65="",SSQ_Intermediate!AA65="",SSQ_Intermediate!AB65="",SSQ_Intermediate!AC65="",SSQ_Intermediate!AD65="",SSQ_Intermediate!AE65=""),"",SUM(SSQ_Intermediate!V65,SSQ_Intermediate!Y65,SSQ_Intermediate!AA65,SSQ_Intermediate!AB65,SSQ_Intermediate!AC65,SSQ_Intermediate!AD65,SSQ_Intermediate!AE65))</f>
        <v/>
      </c>
      <c r="L65" s="102">
        <f>J65*'SSQ Metadata'!$B$14</f>
        <v>0</v>
      </c>
      <c r="M65" s="19" t="str">
        <f>IF(K65="","",K65*'SSQ Metadata'!$B$14)</f>
        <v/>
      </c>
      <c r="N65" s="16">
        <f>(B65+F65+J65)*'SSQ Metadata'!$B$15</f>
        <v>0</v>
      </c>
      <c r="O65" s="17" t="str">
        <f>IF(AND(C65="",G65="",K65=""),"",(C65+G65+K65)*'SSQ Metadata'!$B$15)</f>
        <v/>
      </c>
      <c r="P65" s="15" t="str">
        <f t="shared" si="0"/>
        <v/>
      </c>
      <c r="Q65" s="103" t="str">
        <f t="shared" si="1"/>
        <v/>
      </c>
      <c r="R65" s="103" t="str">
        <f t="shared" si="2"/>
        <v/>
      </c>
      <c r="S65" s="104" t="str">
        <f t="shared" si="3"/>
        <v/>
      </c>
    </row>
    <row r="66" spans="1:19" x14ac:dyDescent="0.2">
      <c r="A66" s="70">
        <v>63</v>
      </c>
      <c r="B66" s="99">
        <f>SSQ_Intermediate!B66+SSQ_Intermediate!G66+SSQ_Intermediate!H66+SSQ_Intermediate!I66+SSQ_Intermediate!J66+SSQ_Intermediate!P66+SSQ_Intermediate!Q66</f>
        <v>0</v>
      </c>
      <c r="C66" s="100" t="str">
        <f>IF(AND(SSQ_Intermediate!R66="",SSQ_Intermediate!W66="",SSQ_Intermediate!X66="",SSQ_Intermediate!Y66="",SSQ_Intermediate!Z66="",SSQ_Intermediate!AF66="",SSQ_Intermediate!AG66=""),"",SUM(SSQ_Intermediate!R66,SSQ_Intermediate!W66,SSQ_Intermediate!X66,SSQ_Intermediate!Y66,SSQ_Intermediate!Z66,SSQ_Intermediate!AF66,SSQ_Intermediate!AG66))</f>
        <v/>
      </c>
      <c r="D66" s="100">
        <f>B66*'SSQ Metadata'!$B$12</f>
        <v>0</v>
      </c>
      <c r="E66" s="22" t="str">
        <f>IF(C66="","",C66*'SSQ Metadata'!$B$12)</f>
        <v/>
      </c>
      <c r="F66" s="20">
        <f>SSQ_Intermediate!B66+SSQ_Intermediate!C66+SSQ_Intermediate!D66+SSQ_Intermediate!E66+SSQ_Intermediate!F66+SSQ_Intermediate!J66+SSQ_Intermediate!L66</f>
        <v>0</v>
      </c>
      <c r="G66" s="101" t="str">
        <f>IF(AND(SSQ_Intermediate!R66="",SSQ_Intermediate!S66="",SSQ_Intermediate!T66="",SSQ_Intermediate!U66="",SSQ_Intermediate!V66="",SSQ_Intermediate!Z66="",SSQ_Intermediate!AB66=""),"",SUM(SSQ_Intermediate!R66,SSQ_Intermediate!S66,SSQ_Intermediate!T66,SSQ_Intermediate!U66,SSQ_Intermediate!V66,SSQ_Intermediate!Z66,SSQ_Intermediate!AB66))</f>
        <v/>
      </c>
      <c r="H66" s="101">
        <f>F66*'SSQ Metadata'!$B$13</f>
        <v>0</v>
      </c>
      <c r="I66" s="21" t="str">
        <f>IF(G66="","",G66*'SSQ Metadata'!$B$13)</f>
        <v/>
      </c>
      <c r="J66" s="18">
        <f>SSQ_Intermediate!F66+SSQ_Intermediate!I66+SSQ_Intermediate!K66+SSQ_Intermediate!L66+SSQ_Intermediate!M66+SSQ_Intermediate!N66+SSQ_Intermediate!O66</f>
        <v>0</v>
      </c>
      <c r="K66" s="102" t="str">
        <f>IF(AND(SSQ_Intermediate!V66="",SSQ_Intermediate!Y66="",SSQ_Intermediate!AA66="",SSQ_Intermediate!AB66="",SSQ_Intermediate!AC66="",SSQ_Intermediate!AD66="",SSQ_Intermediate!AE66=""),"",SUM(SSQ_Intermediate!V66,SSQ_Intermediate!Y66,SSQ_Intermediate!AA66,SSQ_Intermediate!AB66,SSQ_Intermediate!AC66,SSQ_Intermediate!AD66,SSQ_Intermediate!AE66))</f>
        <v/>
      </c>
      <c r="L66" s="102">
        <f>J66*'SSQ Metadata'!$B$14</f>
        <v>0</v>
      </c>
      <c r="M66" s="19" t="str">
        <f>IF(K66="","",K66*'SSQ Metadata'!$B$14)</f>
        <v/>
      </c>
      <c r="N66" s="16">
        <f>(B66+F66+J66)*'SSQ Metadata'!$B$15</f>
        <v>0</v>
      </c>
      <c r="O66" s="17" t="str">
        <f>IF(AND(C66="",G66="",K66=""),"",(C66+G66+K66)*'SSQ Metadata'!$B$15)</f>
        <v/>
      </c>
      <c r="P66" s="15" t="str">
        <f t="shared" si="0"/>
        <v/>
      </c>
      <c r="Q66" s="103" t="str">
        <f t="shared" si="1"/>
        <v/>
      </c>
      <c r="R66" s="103" t="str">
        <f t="shared" si="2"/>
        <v/>
      </c>
      <c r="S66" s="104" t="str">
        <f t="shared" si="3"/>
        <v/>
      </c>
    </row>
    <row r="67" spans="1:19" x14ac:dyDescent="0.2">
      <c r="A67" s="70">
        <v>64</v>
      </c>
      <c r="B67" s="99">
        <f>SSQ_Intermediate!B67+SSQ_Intermediate!G67+SSQ_Intermediate!H67+SSQ_Intermediate!I67+SSQ_Intermediate!J67+SSQ_Intermediate!P67+SSQ_Intermediate!Q67</f>
        <v>0</v>
      </c>
      <c r="C67" s="100" t="str">
        <f>IF(AND(SSQ_Intermediate!R67="",SSQ_Intermediate!W67="",SSQ_Intermediate!X67="",SSQ_Intermediate!Y67="",SSQ_Intermediate!Z67="",SSQ_Intermediate!AF67="",SSQ_Intermediate!AG67=""),"",SUM(SSQ_Intermediate!R67,SSQ_Intermediate!W67,SSQ_Intermediate!X67,SSQ_Intermediate!Y67,SSQ_Intermediate!Z67,SSQ_Intermediate!AF67,SSQ_Intermediate!AG67))</f>
        <v/>
      </c>
      <c r="D67" s="100">
        <f>B67*'SSQ Metadata'!$B$12</f>
        <v>0</v>
      </c>
      <c r="E67" s="22" t="str">
        <f>IF(C67="","",C67*'SSQ Metadata'!$B$12)</f>
        <v/>
      </c>
      <c r="F67" s="20">
        <f>SSQ_Intermediate!B67+SSQ_Intermediate!C67+SSQ_Intermediate!D67+SSQ_Intermediate!E67+SSQ_Intermediate!F67+SSQ_Intermediate!J67+SSQ_Intermediate!L67</f>
        <v>0</v>
      </c>
      <c r="G67" s="101" t="str">
        <f>IF(AND(SSQ_Intermediate!R67="",SSQ_Intermediate!S67="",SSQ_Intermediate!T67="",SSQ_Intermediate!U67="",SSQ_Intermediate!V67="",SSQ_Intermediate!Z67="",SSQ_Intermediate!AB67=""),"",SUM(SSQ_Intermediate!R67,SSQ_Intermediate!S67,SSQ_Intermediate!T67,SSQ_Intermediate!U67,SSQ_Intermediate!V67,SSQ_Intermediate!Z67,SSQ_Intermediate!AB67))</f>
        <v/>
      </c>
      <c r="H67" s="101">
        <f>F67*'SSQ Metadata'!$B$13</f>
        <v>0</v>
      </c>
      <c r="I67" s="21" t="str">
        <f>IF(G67="","",G67*'SSQ Metadata'!$B$13)</f>
        <v/>
      </c>
      <c r="J67" s="18">
        <f>SSQ_Intermediate!F67+SSQ_Intermediate!I67+SSQ_Intermediate!K67+SSQ_Intermediate!L67+SSQ_Intermediate!M67+SSQ_Intermediate!N67+SSQ_Intermediate!O67</f>
        <v>0</v>
      </c>
      <c r="K67" s="102" t="str">
        <f>IF(AND(SSQ_Intermediate!V67="",SSQ_Intermediate!Y67="",SSQ_Intermediate!AA67="",SSQ_Intermediate!AB67="",SSQ_Intermediate!AC67="",SSQ_Intermediate!AD67="",SSQ_Intermediate!AE67=""),"",SUM(SSQ_Intermediate!V67,SSQ_Intermediate!Y67,SSQ_Intermediate!AA67,SSQ_Intermediate!AB67,SSQ_Intermediate!AC67,SSQ_Intermediate!AD67,SSQ_Intermediate!AE67))</f>
        <v/>
      </c>
      <c r="L67" s="102">
        <f>J67*'SSQ Metadata'!$B$14</f>
        <v>0</v>
      </c>
      <c r="M67" s="19" t="str">
        <f>IF(K67="","",K67*'SSQ Metadata'!$B$14)</f>
        <v/>
      </c>
      <c r="N67" s="16">
        <f>(B67+F67+J67)*'SSQ Metadata'!$B$15</f>
        <v>0</v>
      </c>
      <c r="O67" s="17" t="str">
        <f>IF(AND(C67="",G67="",K67=""),"",(C67+G67+K67)*'SSQ Metadata'!$B$15)</f>
        <v/>
      </c>
      <c r="P67" s="15" t="str">
        <f t="shared" si="0"/>
        <v/>
      </c>
      <c r="Q67" s="103" t="str">
        <f t="shared" si="1"/>
        <v/>
      </c>
      <c r="R67" s="103" t="str">
        <f t="shared" si="2"/>
        <v/>
      </c>
      <c r="S67" s="104" t="str">
        <f t="shared" si="3"/>
        <v/>
      </c>
    </row>
    <row r="68" spans="1:19" x14ac:dyDescent="0.2">
      <c r="A68" s="70">
        <v>65</v>
      </c>
      <c r="B68" s="99">
        <f>SSQ_Intermediate!B68+SSQ_Intermediate!G68+SSQ_Intermediate!H68+SSQ_Intermediate!I68+SSQ_Intermediate!J68+SSQ_Intermediate!P68+SSQ_Intermediate!Q68</f>
        <v>0</v>
      </c>
      <c r="C68" s="100" t="str">
        <f>IF(AND(SSQ_Intermediate!R68="",SSQ_Intermediate!W68="",SSQ_Intermediate!X68="",SSQ_Intermediate!Y68="",SSQ_Intermediate!Z68="",SSQ_Intermediate!AF68="",SSQ_Intermediate!AG68=""),"",SUM(SSQ_Intermediate!R68,SSQ_Intermediate!W68,SSQ_Intermediate!X68,SSQ_Intermediate!Y68,SSQ_Intermediate!Z68,SSQ_Intermediate!AF68,SSQ_Intermediate!AG68))</f>
        <v/>
      </c>
      <c r="D68" s="100">
        <f>B68*'SSQ Metadata'!$B$12</f>
        <v>0</v>
      </c>
      <c r="E68" s="22" t="str">
        <f>IF(C68="","",C68*'SSQ Metadata'!$B$12)</f>
        <v/>
      </c>
      <c r="F68" s="20">
        <f>SSQ_Intermediate!B68+SSQ_Intermediate!C68+SSQ_Intermediate!D68+SSQ_Intermediate!E68+SSQ_Intermediate!F68+SSQ_Intermediate!J68+SSQ_Intermediate!L68</f>
        <v>0</v>
      </c>
      <c r="G68" s="101" t="str">
        <f>IF(AND(SSQ_Intermediate!R68="",SSQ_Intermediate!S68="",SSQ_Intermediate!T68="",SSQ_Intermediate!U68="",SSQ_Intermediate!V68="",SSQ_Intermediate!Z68="",SSQ_Intermediate!AB68=""),"",SUM(SSQ_Intermediate!R68,SSQ_Intermediate!S68,SSQ_Intermediate!T68,SSQ_Intermediate!U68,SSQ_Intermediate!V68,SSQ_Intermediate!Z68,SSQ_Intermediate!AB68))</f>
        <v/>
      </c>
      <c r="H68" s="101">
        <f>F68*'SSQ Metadata'!$B$13</f>
        <v>0</v>
      </c>
      <c r="I68" s="21" t="str">
        <f>IF(G68="","",G68*'SSQ Metadata'!$B$13)</f>
        <v/>
      </c>
      <c r="J68" s="18">
        <f>SSQ_Intermediate!F68+SSQ_Intermediate!I68+SSQ_Intermediate!K68+SSQ_Intermediate!L68+SSQ_Intermediate!M68+SSQ_Intermediate!N68+SSQ_Intermediate!O68</f>
        <v>0</v>
      </c>
      <c r="K68" s="102" t="str">
        <f>IF(AND(SSQ_Intermediate!V68="",SSQ_Intermediate!Y68="",SSQ_Intermediate!AA68="",SSQ_Intermediate!AB68="",SSQ_Intermediate!AC68="",SSQ_Intermediate!AD68="",SSQ_Intermediate!AE68=""),"",SUM(SSQ_Intermediate!V68,SSQ_Intermediate!Y68,SSQ_Intermediate!AA68,SSQ_Intermediate!AB68,SSQ_Intermediate!AC68,SSQ_Intermediate!AD68,SSQ_Intermediate!AE68))</f>
        <v/>
      </c>
      <c r="L68" s="102">
        <f>J68*'SSQ Metadata'!$B$14</f>
        <v>0</v>
      </c>
      <c r="M68" s="19" t="str">
        <f>IF(K68="","",K68*'SSQ Metadata'!$B$14)</f>
        <v/>
      </c>
      <c r="N68" s="16">
        <f>(B68+F68+J68)*'SSQ Metadata'!$B$15</f>
        <v>0</v>
      </c>
      <c r="O68" s="17" t="str">
        <f>IF(AND(C68="",G68="",K68=""),"",(C68+G68+K68)*'SSQ Metadata'!$B$15)</f>
        <v/>
      </c>
      <c r="P68" s="15" t="str">
        <f t="shared" si="0"/>
        <v/>
      </c>
      <c r="Q68" s="103" t="str">
        <f t="shared" si="1"/>
        <v/>
      </c>
      <c r="R68" s="103" t="str">
        <f t="shared" si="2"/>
        <v/>
      </c>
      <c r="S68" s="104" t="str">
        <f t="shared" si="3"/>
        <v/>
      </c>
    </row>
    <row r="69" spans="1:19" x14ac:dyDescent="0.2">
      <c r="A69" s="70">
        <v>66</v>
      </c>
      <c r="B69" s="99">
        <f>SSQ_Intermediate!B69+SSQ_Intermediate!G69+SSQ_Intermediate!H69+SSQ_Intermediate!I69+SSQ_Intermediate!J69+SSQ_Intermediate!P69+SSQ_Intermediate!Q69</f>
        <v>0</v>
      </c>
      <c r="C69" s="100" t="str">
        <f>IF(AND(SSQ_Intermediate!R69="",SSQ_Intermediate!W69="",SSQ_Intermediate!X69="",SSQ_Intermediate!Y69="",SSQ_Intermediate!Z69="",SSQ_Intermediate!AF69="",SSQ_Intermediate!AG69=""),"",SUM(SSQ_Intermediate!R69,SSQ_Intermediate!W69,SSQ_Intermediate!X69,SSQ_Intermediate!Y69,SSQ_Intermediate!Z69,SSQ_Intermediate!AF69,SSQ_Intermediate!AG69))</f>
        <v/>
      </c>
      <c r="D69" s="100">
        <f>B69*'SSQ Metadata'!$B$12</f>
        <v>0</v>
      </c>
      <c r="E69" s="22" t="str">
        <f>IF(C69="","",C69*'SSQ Metadata'!$B$12)</f>
        <v/>
      </c>
      <c r="F69" s="20">
        <f>SSQ_Intermediate!B69+SSQ_Intermediate!C69+SSQ_Intermediate!D69+SSQ_Intermediate!E69+SSQ_Intermediate!F69+SSQ_Intermediate!J69+SSQ_Intermediate!L69</f>
        <v>0</v>
      </c>
      <c r="G69" s="101" t="str">
        <f>IF(AND(SSQ_Intermediate!R69="",SSQ_Intermediate!S69="",SSQ_Intermediate!T69="",SSQ_Intermediate!U69="",SSQ_Intermediate!V69="",SSQ_Intermediate!Z69="",SSQ_Intermediate!AB69=""),"",SUM(SSQ_Intermediate!R69,SSQ_Intermediate!S69,SSQ_Intermediate!T69,SSQ_Intermediate!U69,SSQ_Intermediate!V69,SSQ_Intermediate!Z69,SSQ_Intermediate!AB69))</f>
        <v/>
      </c>
      <c r="H69" s="101">
        <f>F69*'SSQ Metadata'!$B$13</f>
        <v>0</v>
      </c>
      <c r="I69" s="21" t="str">
        <f>IF(G69="","",G69*'SSQ Metadata'!$B$13)</f>
        <v/>
      </c>
      <c r="J69" s="18">
        <f>SSQ_Intermediate!F69+SSQ_Intermediate!I69+SSQ_Intermediate!K69+SSQ_Intermediate!L69+SSQ_Intermediate!M69+SSQ_Intermediate!N69+SSQ_Intermediate!O69</f>
        <v>0</v>
      </c>
      <c r="K69" s="102" t="str">
        <f>IF(AND(SSQ_Intermediate!V69="",SSQ_Intermediate!Y69="",SSQ_Intermediate!AA69="",SSQ_Intermediate!AB69="",SSQ_Intermediate!AC69="",SSQ_Intermediate!AD69="",SSQ_Intermediate!AE69=""),"",SUM(SSQ_Intermediate!V69,SSQ_Intermediate!Y69,SSQ_Intermediate!AA69,SSQ_Intermediate!AB69,SSQ_Intermediate!AC69,SSQ_Intermediate!AD69,SSQ_Intermediate!AE69))</f>
        <v/>
      </c>
      <c r="L69" s="102">
        <f>J69*'SSQ Metadata'!$B$14</f>
        <v>0</v>
      </c>
      <c r="M69" s="19" t="str">
        <f>IF(K69="","",K69*'SSQ Metadata'!$B$14)</f>
        <v/>
      </c>
      <c r="N69" s="16">
        <f>(B69+F69+J69)*'SSQ Metadata'!$B$15</f>
        <v>0</v>
      </c>
      <c r="O69" s="17" t="str">
        <f>IF(AND(C69="",G69="",K69=""),"",(C69+G69+K69)*'SSQ Metadata'!$B$15)</f>
        <v/>
      </c>
      <c r="P69" s="15" t="str">
        <f t="shared" ref="P69:P103" si="4">IF(E69="","",E69-D69)</f>
        <v/>
      </c>
      <c r="Q69" s="103" t="str">
        <f t="shared" ref="Q69:Q103" si="5">IF(I69="","",I69-H69)</f>
        <v/>
      </c>
      <c r="R69" s="103" t="str">
        <f t="shared" ref="R69:R103" si="6">IF(M69="","",M69-L69)</f>
        <v/>
      </c>
      <c r="S69" s="104" t="str">
        <f t="shared" ref="S69:S103" si="7">IF(O69="","",O69-N69)</f>
        <v/>
      </c>
    </row>
    <row r="70" spans="1:19" x14ac:dyDescent="0.2">
      <c r="A70" s="70">
        <v>67</v>
      </c>
      <c r="B70" s="99">
        <f>SSQ_Intermediate!B70+SSQ_Intermediate!G70+SSQ_Intermediate!H70+SSQ_Intermediate!I70+SSQ_Intermediate!J70+SSQ_Intermediate!P70+SSQ_Intermediate!Q70</f>
        <v>0</v>
      </c>
      <c r="C70" s="100" t="str">
        <f>IF(AND(SSQ_Intermediate!R70="",SSQ_Intermediate!W70="",SSQ_Intermediate!X70="",SSQ_Intermediate!Y70="",SSQ_Intermediate!Z70="",SSQ_Intermediate!AF70="",SSQ_Intermediate!AG70=""),"",SUM(SSQ_Intermediate!R70,SSQ_Intermediate!W70,SSQ_Intermediate!X70,SSQ_Intermediate!Y70,SSQ_Intermediate!Z70,SSQ_Intermediate!AF70,SSQ_Intermediate!AG70))</f>
        <v/>
      </c>
      <c r="D70" s="100">
        <f>B70*'SSQ Metadata'!$B$12</f>
        <v>0</v>
      </c>
      <c r="E70" s="22" t="str">
        <f>IF(C70="","",C70*'SSQ Metadata'!$B$12)</f>
        <v/>
      </c>
      <c r="F70" s="20">
        <f>SSQ_Intermediate!B70+SSQ_Intermediate!C70+SSQ_Intermediate!D70+SSQ_Intermediate!E70+SSQ_Intermediate!F70+SSQ_Intermediate!J70+SSQ_Intermediate!L70</f>
        <v>0</v>
      </c>
      <c r="G70" s="101" t="str">
        <f>IF(AND(SSQ_Intermediate!R70="",SSQ_Intermediate!S70="",SSQ_Intermediate!T70="",SSQ_Intermediate!U70="",SSQ_Intermediate!V70="",SSQ_Intermediate!Z70="",SSQ_Intermediate!AB70=""),"",SUM(SSQ_Intermediate!R70,SSQ_Intermediate!S70,SSQ_Intermediate!T70,SSQ_Intermediate!U70,SSQ_Intermediate!V70,SSQ_Intermediate!Z70,SSQ_Intermediate!AB70))</f>
        <v/>
      </c>
      <c r="H70" s="101">
        <f>F70*'SSQ Metadata'!$B$13</f>
        <v>0</v>
      </c>
      <c r="I70" s="21" t="str">
        <f>IF(G70="","",G70*'SSQ Metadata'!$B$13)</f>
        <v/>
      </c>
      <c r="J70" s="18">
        <f>SSQ_Intermediate!F70+SSQ_Intermediate!I70+SSQ_Intermediate!K70+SSQ_Intermediate!L70+SSQ_Intermediate!M70+SSQ_Intermediate!N70+SSQ_Intermediate!O70</f>
        <v>0</v>
      </c>
      <c r="K70" s="102" t="str">
        <f>IF(AND(SSQ_Intermediate!V70="",SSQ_Intermediate!Y70="",SSQ_Intermediate!AA70="",SSQ_Intermediate!AB70="",SSQ_Intermediate!AC70="",SSQ_Intermediate!AD70="",SSQ_Intermediate!AE70=""),"",SUM(SSQ_Intermediate!V70,SSQ_Intermediate!Y70,SSQ_Intermediate!AA70,SSQ_Intermediate!AB70,SSQ_Intermediate!AC70,SSQ_Intermediate!AD70,SSQ_Intermediate!AE70))</f>
        <v/>
      </c>
      <c r="L70" s="102">
        <f>J70*'SSQ Metadata'!$B$14</f>
        <v>0</v>
      </c>
      <c r="M70" s="19" t="str">
        <f>IF(K70="","",K70*'SSQ Metadata'!$B$14)</f>
        <v/>
      </c>
      <c r="N70" s="16">
        <f>(B70+F70+J70)*'SSQ Metadata'!$B$15</f>
        <v>0</v>
      </c>
      <c r="O70" s="17" t="str">
        <f>IF(AND(C70="",G70="",K70=""),"",(C70+G70+K70)*'SSQ Metadata'!$B$15)</f>
        <v/>
      </c>
      <c r="P70" s="15" t="str">
        <f t="shared" si="4"/>
        <v/>
      </c>
      <c r="Q70" s="103" t="str">
        <f t="shared" si="5"/>
        <v/>
      </c>
      <c r="R70" s="103" t="str">
        <f t="shared" si="6"/>
        <v/>
      </c>
      <c r="S70" s="104" t="str">
        <f t="shared" si="7"/>
        <v/>
      </c>
    </row>
    <row r="71" spans="1:19" x14ac:dyDescent="0.2">
      <c r="A71" s="70">
        <v>68</v>
      </c>
      <c r="B71" s="99">
        <f>SSQ_Intermediate!B71+SSQ_Intermediate!G71+SSQ_Intermediate!H71+SSQ_Intermediate!I71+SSQ_Intermediate!J71+SSQ_Intermediate!P71+SSQ_Intermediate!Q71</f>
        <v>0</v>
      </c>
      <c r="C71" s="100" t="str">
        <f>IF(AND(SSQ_Intermediate!R71="",SSQ_Intermediate!W71="",SSQ_Intermediate!X71="",SSQ_Intermediate!Y71="",SSQ_Intermediate!Z71="",SSQ_Intermediate!AF71="",SSQ_Intermediate!AG71=""),"",SUM(SSQ_Intermediate!R71,SSQ_Intermediate!W71,SSQ_Intermediate!X71,SSQ_Intermediate!Y71,SSQ_Intermediate!Z71,SSQ_Intermediate!AF71,SSQ_Intermediate!AG71))</f>
        <v/>
      </c>
      <c r="D71" s="100">
        <f>B71*'SSQ Metadata'!$B$12</f>
        <v>0</v>
      </c>
      <c r="E71" s="22" t="str">
        <f>IF(C71="","",C71*'SSQ Metadata'!$B$12)</f>
        <v/>
      </c>
      <c r="F71" s="20">
        <f>SSQ_Intermediate!B71+SSQ_Intermediate!C71+SSQ_Intermediate!D71+SSQ_Intermediate!E71+SSQ_Intermediate!F71+SSQ_Intermediate!J71+SSQ_Intermediate!L71</f>
        <v>0</v>
      </c>
      <c r="G71" s="101" t="str">
        <f>IF(AND(SSQ_Intermediate!R71="",SSQ_Intermediate!S71="",SSQ_Intermediate!T71="",SSQ_Intermediate!U71="",SSQ_Intermediate!V71="",SSQ_Intermediate!Z71="",SSQ_Intermediate!AB71=""),"",SUM(SSQ_Intermediate!R71,SSQ_Intermediate!S71,SSQ_Intermediate!T71,SSQ_Intermediate!U71,SSQ_Intermediate!V71,SSQ_Intermediate!Z71,SSQ_Intermediate!AB71))</f>
        <v/>
      </c>
      <c r="H71" s="101">
        <f>F71*'SSQ Metadata'!$B$13</f>
        <v>0</v>
      </c>
      <c r="I71" s="21" t="str">
        <f>IF(G71="","",G71*'SSQ Metadata'!$B$13)</f>
        <v/>
      </c>
      <c r="J71" s="18">
        <f>SSQ_Intermediate!F71+SSQ_Intermediate!I71+SSQ_Intermediate!K71+SSQ_Intermediate!L71+SSQ_Intermediate!M71+SSQ_Intermediate!N71+SSQ_Intermediate!O71</f>
        <v>0</v>
      </c>
      <c r="K71" s="102" t="str">
        <f>IF(AND(SSQ_Intermediate!V71="",SSQ_Intermediate!Y71="",SSQ_Intermediate!AA71="",SSQ_Intermediate!AB71="",SSQ_Intermediate!AC71="",SSQ_Intermediate!AD71="",SSQ_Intermediate!AE71=""),"",SUM(SSQ_Intermediate!V71,SSQ_Intermediate!Y71,SSQ_Intermediate!AA71,SSQ_Intermediate!AB71,SSQ_Intermediate!AC71,SSQ_Intermediate!AD71,SSQ_Intermediate!AE71))</f>
        <v/>
      </c>
      <c r="L71" s="102">
        <f>J71*'SSQ Metadata'!$B$14</f>
        <v>0</v>
      </c>
      <c r="M71" s="19" t="str">
        <f>IF(K71="","",K71*'SSQ Metadata'!$B$14)</f>
        <v/>
      </c>
      <c r="N71" s="16">
        <f>(B71+F71+J71)*'SSQ Metadata'!$B$15</f>
        <v>0</v>
      </c>
      <c r="O71" s="17" t="str">
        <f>IF(AND(C71="",G71="",K71=""),"",(C71+G71+K71)*'SSQ Metadata'!$B$15)</f>
        <v/>
      </c>
      <c r="P71" s="15" t="str">
        <f t="shared" si="4"/>
        <v/>
      </c>
      <c r="Q71" s="103" t="str">
        <f t="shared" si="5"/>
        <v/>
      </c>
      <c r="R71" s="103" t="str">
        <f t="shared" si="6"/>
        <v/>
      </c>
      <c r="S71" s="104" t="str">
        <f t="shared" si="7"/>
        <v/>
      </c>
    </row>
    <row r="72" spans="1:19" x14ac:dyDescent="0.2">
      <c r="A72" s="70">
        <v>69</v>
      </c>
      <c r="B72" s="99">
        <f>SSQ_Intermediate!B72+SSQ_Intermediate!G72+SSQ_Intermediate!H72+SSQ_Intermediate!I72+SSQ_Intermediate!J72+SSQ_Intermediate!P72+SSQ_Intermediate!Q72</f>
        <v>0</v>
      </c>
      <c r="C72" s="100" t="str">
        <f>IF(AND(SSQ_Intermediate!R72="",SSQ_Intermediate!W72="",SSQ_Intermediate!X72="",SSQ_Intermediate!Y72="",SSQ_Intermediate!Z72="",SSQ_Intermediate!AF72="",SSQ_Intermediate!AG72=""),"",SUM(SSQ_Intermediate!R72,SSQ_Intermediate!W72,SSQ_Intermediate!X72,SSQ_Intermediate!Y72,SSQ_Intermediate!Z72,SSQ_Intermediate!AF72,SSQ_Intermediate!AG72))</f>
        <v/>
      </c>
      <c r="D72" s="100">
        <f>B72*'SSQ Metadata'!$B$12</f>
        <v>0</v>
      </c>
      <c r="E72" s="22" t="str">
        <f>IF(C72="","",C72*'SSQ Metadata'!$B$12)</f>
        <v/>
      </c>
      <c r="F72" s="20">
        <f>SSQ_Intermediate!B72+SSQ_Intermediate!C72+SSQ_Intermediate!D72+SSQ_Intermediate!E72+SSQ_Intermediate!F72+SSQ_Intermediate!J72+SSQ_Intermediate!L72</f>
        <v>0</v>
      </c>
      <c r="G72" s="101" t="str">
        <f>IF(AND(SSQ_Intermediate!R72="",SSQ_Intermediate!S72="",SSQ_Intermediate!T72="",SSQ_Intermediate!U72="",SSQ_Intermediate!V72="",SSQ_Intermediate!Z72="",SSQ_Intermediate!AB72=""),"",SUM(SSQ_Intermediate!R72,SSQ_Intermediate!S72,SSQ_Intermediate!T72,SSQ_Intermediate!U72,SSQ_Intermediate!V72,SSQ_Intermediate!Z72,SSQ_Intermediate!AB72))</f>
        <v/>
      </c>
      <c r="H72" s="101">
        <f>F72*'SSQ Metadata'!$B$13</f>
        <v>0</v>
      </c>
      <c r="I72" s="21" t="str">
        <f>IF(G72="","",G72*'SSQ Metadata'!$B$13)</f>
        <v/>
      </c>
      <c r="J72" s="18">
        <f>SSQ_Intermediate!F72+SSQ_Intermediate!I72+SSQ_Intermediate!K72+SSQ_Intermediate!L72+SSQ_Intermediate!M72+SSQ_Intermediate!N72+SSQ_Intermediate!O72</f>
        <v>0</v>
      </c>
      <c r="K72" s="102" t="str">
        <f>IF(AND(SSQ_Intermediate!V72="",SSQ_Intermediate!Y72="",SSQ_Intermediate!AA72="",SSQ_Intermediate!AB72="",SSQ_Intermediate!AC72="",SSQ_Intermediate!AD72="",SSQ_Intermediate!AE72=""),"",SUM(SSQ_Intermediate!V72,SSQ_Intermediate!Y72,SSQ_Intermediate!AA72,SSQ_Intermediate!AB72,SSQ_Intermediate!AC72,SSQ_Intermediate!AD72,SSQ_Intermediate!AE72))</f>
        <v/>
      </c>
      <c r="L72" s="102">
        <f>J72*'SSQ Metadata'!$B$14</f>
        <v>0</v>
      </c>
      <c r="M72" s="19" t="str">
        <f>IF(K72="","",K72*'SSQ Metadata'!$B$14)</f>
        <v/>
      </c>
      <c r="N72" s="16">
        <f>(B72+F72+J72)*'SSQ Metadata'!$B$15</f>
        <v>0</v>
      </c>
      <c r="O72" s="17" t="str">
        <f>IF(AND(C72="",G72="",K72=""),"",(C72+G72+K72)*'SSQ Metadata'!$B$15)</f>
        <v/>
      </c>
      <c r="P72" s="15" t="str">
        <f t="shared" si="4"/>
        <v/>
      </c>
      <c r="Q72" s="103" t="str">
        <f t="shared" si="5"/>
        <v/>
      </c>
      <c r="R72" s="103" t="str">
        <f t="shared" si="6"/>
        <v/>
      </c>
      <c r="S72" s="104" t="str">
        <f t="shared" si="7"/>
        <v/>
      </c>
    </row>
    <row r="73" spans="1:19" x14ac:dyDescent="0.2">
      <c r="A73" s="70">
        <v>70</v>
      </c>
      <c r="B73" s="99">
        <f>SSQ_Intermediate!B73+SSQ_Intermediate!G73+SSQ_Intermediate!H73+SSQ_Intermediate!I73+SSQ_Intermediate!J73+SSQ_Intermediate!P73+SSQ_Intermediate!Q73</f>
        <v>0</v>
      </c>
      <c r="C73" s="100" t="str">
        <f>IF(AND(SSQ_Intermediate!R73="",SSQ_Intermediate!W73="",SSQ_Intermediate!X73="",SSQ_Intermediate!Y73="",SSQ_Intermediate!Z73="",SSQ_Intermediate!AF73="",SSQ_Intermediate!AG73=""),"",SUM(SSQ_Intermediate!R73,SSQ_Intermediate!W73,SSQ_Intermediate!X73,SSQ_Intermediate!Y73,SSQ_Intermediate!Z73,SSQ_Intermediate!AF73,SSQ_Intermediate!AG73))</f>
        <v/>
      </c>
      <c r="D73" s="100">
        <f>B73*'SSQ Metadata'!$B$12</f>
        <v>0</v>
      </c>
      <c r="E73" s="22" t="str">
        <f>IF(C73="","",C73*'SSQ Metadata'!$B$12)</f>
        <v/>
      </c>
      <c r="F73" s="20">
        <f>SSQ_Intermediate!B73+SSQ_Intermediate!C73+SSQ_Intermediate!D73+SSQ_Intermediate!E73+SSQ_Intermediate!F73+SSQ_Intermediate!J73+SSQ_Intermediate!L73</f>
        <v>0</v>
      </c>
      <c r="G73" s="101" t="str">
        <f>IF(AND(SSQ_Intermediate!R73="",SSQ_Intermediate!S73="",SSQ_Intermediate!T73="",SSQ_Intermediate!U73="",SSQ_Intermediate!V73="",SSQ_Intermediate!Z73="",SSQ_Intermediate!AB73=""),"",SUM(SSQ_Intermediate!R73,SSQ_Intermediate!S73,SSQ_Intermediate!T73,SSQ_Intermediate!U73,SSQ_Intermediate!V73,SSQ_Intermediate!Z73,SSQ_Intermediate!AB73))</f>
        <v/>
      </c>
      <c r="H73" s="101">
        <f>F73*'SSQ Metadata'!$B$13</f>
        <v>0</v>
      </c>
      <c r="I73" s="21" t="str">
        <f>IF(G73="","",G73*'SSQ Metadata'!$B$13)</f>
        <v/>
      </c>
      <c r="J73" s="18">
        <f>SSQ_Intermediate!F73+SSQ_Intermediate!I73+SSQ_Intermediate!K73+SSQ_Intermediate!L73+SSQ_Intermediate!M73+SSQ_Intermediate!N73+SSQ_Intermediate!O73</f>
        <v>0</v>
      </c>
      <c r="K73" s="102" t="str">
        <f>IF(AND(SSQ_Intermediate!V73="",SSQ_Intermediate!Y73="",SSQ_Intermediate!AA73="",SSQ_Intermediate!AB73="",SSQ_Intermediate!AC73="",SSQ_Intermediate!AD73="",SSQ_Intermediate!AE73=""),"",SUM(SSQ_Intermediate!V73,SSQ_Intermediate!Y73,SSQ_Intermediate!AA73,SSQ_Intermediate!AB73,SSQ_Intermediate!AC73,SSQ_Intermediate!AD73,SSQ_Intermediate!AE73))</f>
        <v/>
      </c>
      <c r="L73" s="102">
        <f>J73*'SSQ Metadata'!$B$14</f>
        <v>0</v>
      </c>
      <c r="M73" s="19" t="str">
        <f>IF(K73="","",K73*'SSQ Metadata'!$B$14)</f>
        <v/>
      </c>
      <c r="N73" s="16">
        <f>(B73+F73+J73)*'SSQ Metadata'!$B$15</f>
        <v>0</v>
      </c>
      <c r="O73" s="17" t="str">
        <f>IF(AND(C73="",G73="",K73=""),"",(C73+G73+K73)*'SSQ Metadata'!$B$15)</f>
        <v/>
      </c>
      <c r="P73" s="15" t="str">
        <f t="shared" si="4"/>
        <v/>
      </c>
      <c r="Q73" s="103" t="str">
        <f t="shared" si="5"/>
        <v/>
      </c>
      <c r="R73" s="103" t="str">
        <f t="shared" si="6"/>
        <v/>
      </c>
      <c r="S73" s="104" t="str">
        <f t="shared" si="7"/>
        <v/>
      </c>
    </row>
    <row r="74" spans="1:19" x14ac:dyDescent="0.2">
      <c r="A74" s="70">
        <v>71</v>
      </c>
      <c r="B74" s="99">
        <f>SSQ_Intermediate!B74+SSQ_Intermediate!G74+SSQ_Intermediate!H74+SSQ_Intermediate!I74+SSQ_Intermediate!J74+SSQ_Intermediate!P74+SSQ_Intermediate!Q74</f>
        <v>0</v>
      </c>
      <c r="C74" s="100" t="str">
        <f>IF(AND(SSQ_Intermediate!R74="",SSQ_Intermediate!W74="",SSQ_Intermediate!X74="",SSQ_Intermediate!Y74="",SSQ_Intermediate!Z74="",SSQ_Intermediate!AF74="",SSQ_Intermediate!AG74=""),"",SUM(SSQ_Intermediate!R74,SSQ_Intermediate!W74,SSQ_Intermediate!X74,SSQ_Intermediate!Y74,SSQ_Intermediate!Z74,SSQ_Intermediate!AF74,SSQ_Intermediate!AG74))</f>
        <v/>
      </c>
      <c r="D74" s="100">
        <f>B74*'SSQ Metadata'!$B$12</f>
        <v>0</v>
      </c>
      <c r="E74" s="22" t="str">
        <f>IF(C74="","",C74*'SSQ Metadata'!$B$12)</f>
        <v/>
      </c>
      <c r="F74" s="20">
        <f>SSQ_Intermediate!B74+SSQ_Intermediate!C74+SSQ_Intermediate!D74+SSQ_Intermediate!E74+SSQ_Intermediate!F74+SSQ_Intermediate!J74+SSQ_Intermediate!L74</f>
        <v>0</v>
      </c>
      <c r="G74" s="101" t="str">
        <f>IF(AND(SSQ_Intermediate!R74="",SSQ_Intermediate!S74="",SSQ_Intermediate!T74="",SSQ_Intermediate!U74="",SSQ_Intermediate!V74="",SSQ_Intermediate!Z74="",SSQ_Intermediate!AB74=""),"",SUM(SSQ_Intermediate!R74,SSQ_Intermediate!S74,SSQ_Intermediate!T74,SSQ_Intermediate!U74,SSQ_Intermediate!V74,SSQ_Intermediate!Z74,SSQ_Intermediate!AB74))</f>
        <v/>
      </c>
      <c r="H74" s="101">
        <f>F74*'SSQ Metadata'!$B$13</f>
        <v>0</v>
      </c>
      <c r="I74" s="21" t="str">
        <f>IF(G74="","",G74*'SSQ Metadata'!$B$13)</f>
        <v/>
      </c>
      <c r="J74" s="18">
        <f>SSQ_Intermediate!F74+SSQ_Intermediate!I74+SSQ_Intermediate!K74+SSQ_Intermediate!L74+SSQ_Intermediate!M74+SSQ_Intermediate!N74+SSQ_Intermediate!O74</f>
        <v>0</v>
      </c>
      <c r="K74" s="102" t="str">
        <f>IF(AND(SSQ_Intermediate!V74="",SSQ_Intermediate!Y74="",SSQ_Intermediate!AA74="",SSQ_Intermediate!AB74="",SSQ_Intermediate!AC74="",SSQ_Intermediate!AD74="",SSQ_Intermediate!AE74=""),"",SUM(SSQ_Intermediate!V74,SSQ_Intermediate!Y74,SSQ_Intermediate!AA74,SSQ_Intermediate!AB74,SSQ_Intermediate!AC74,SSQ_Intermediate!AD74,SSQ_Intermediate!AE74))</f>
        <v/>
      </c>
      <c r="L74" s="102">
        <f>J74*'SSQ Metadata'!$B$14</f>
        <v>0</v>
      </c>
      <c r="M74" s="19" t="str">
        <f>IF(K74="","",K74*'SSQ Metadata'!$B$14)</f>
        <v/>
      </c>
      <c r="N74" s="16">
        <f>(B74+F74+J74)*'SSQ Metadata'!$B$15</f>
        <v>0</v>
      </c>
      <c r="O74" s="17" t="str">
        <f>IF(AND(C74="",G74="",K74=""),"",(C74+G74+K74)*'SSQ Metadata'!$B$15)</f>
        <v/>
      </c>
      <c r="P74" s="15" t="str">
        <f t="shared" si="4"/>
        <v/>
      </c>
      <c r="Q74" s="103" t="str">
        <f t="shared" si="5"/>
        <v/>
      </c>
      <c r="R74" s="103" t="str">
        <f t="shared" si="6"/>
        <v/>
      </c>
      <c r="S74" s="104" t="str">
        <f t="shared" si="7"/>
        <v/>
      </c>
    </row>
    <row r="75" spans="1:19" x14ac:dyDescent="0.2">
      <c r="A75" s="70">
        <v>72</v>
      </c>
      <c r="B75" s="99">
        <f>SSQ_Intermediate!B75+SSQ_Intermediate!G75+SSQ_Intermediate!H75+SSQ_Intermediate!I75+SSQ_Intermediate!J75+SSQ_Intermediate!P75+SSQ_Intermediate!Q75</f>
        <v>0</v>
      </c>
      <c r="C75" s="100" t="str">
        <f>IF(AND(SSQ_Intermediate!R75="",SSQ_Intermediate!W75="",SSQ_Intermediate!X75="",SSQ_Intermediate!Y75="",SSQ_Intermediate!Z75="",SSQ_Intermediate!AF75="",SSQ_Intermediate!AG75=""),"",SUM(SSQ_Intermediate!R75,SSQ_Intermediate!W75,SSQ_Intermediate!X75,SSQ_Intermediate!Y75,SSQ_Intermediate!Z75,SSQ_Intermediate!AF75,SSQ_Intermediate!AG75))</f>
        <v/>
      </c>
      <c r="D75" s="100">
        <f>B75*'SSQ Metadata'!$B$12</f>
        <v>0</v>
      </c>
      <c r="E75" s="22" t="str">
        <f>IF(C75="","",C75*'SSQ Metadata'!$B$12)</f>
        <v/>
      </c>
      <c r="F75" s="20">
        <f>SSQ_Intermediate!B75+SSQ_Intermediate!C75+SSQ_Intermediate!D75+SSQ_Intermediate!E75+SSQ_Intermediate!F75+SSQ_Intermediate!J75+SSQ_Intermediate!L75</f>
        <v>0</v>
      </c>
      <c r="G75" s="101" t="str">
        <f>IF(AND(SSQ_Intermediate!R75="",SSQ_Intermediate!S75="",SSQ_Intermediate!T75="",SSQ_Intermediate!U75="",SSQ_Intermediate!V75="",SSQ_Intermediate!Z75="",SSQ_Intermediate!AB75=""),"",SUM(SSQ_Intermediate!R75,SSQ_Intermediate!S75,SSQ_Intermediate!T75,SSQ_Intermediate!U75,SSQ_Intermediate!V75,SSQ_Intermediate!Z75,SSQ_Intermediate!AB75))</f>
        <v/>
      </c>
      <c r="H75" s="101">
        <f>F75*'SSQ Metadata'!$B$13</f>
        <v>0</v>
      </c>
      <c r="I75" s="21" t="str">
        <f>IF(G75="","",G75*'SSQ Metadata'!$B$13)</f>
        <v/>
      </c>
      <c r="J75" s="18">
        <f>SSQ_Intermediate!F75+SSQ_Intermediate!I75+SSQ_Intermediate!K75+SSQ_Intermediate!L75+SSQ_Intermediate!M75+SSQ_Intermediate!N75+SSQ_Intermediate!O75</f>
        <v>0</v>
      </c>
      <c r="K75" s="102" t="str">
        <f>IF(AND(SSQ_Intermediate!V75="",SSQ_Intermediate!Y75="",SSQ_Intermediate!AA75="",SSQ_Intermediate!AB75="",SSQ_Intermediate!AC75="",SSQ_Intermediate!AD75="",SSQ_Intermediate!AE75=""),"",SUM(SSQ_Intermediate!V75,SSQ_Intermediate!Y75,SSQ_Intermediate!AA75,SSQ_Intermediate!AB75,SSQ_Intermediate!AC75,SSQ_Intermediate!AD75,SSQ_Intermediate!AE75))</f>
        <v/>
      </c>
      <c r="L75" s="102">
        <f>J75*'SSQ Metadata'!$B$14</f>
        <v>0</v>
      </c>
      <c r="M75" s="19" t="str">
        <f>IF(K75="","",K75*'SSQ Metadata'!$B$14)</f>
        <v/>
      </c>
      <c r="N75" s="16">
        <f>(B75+F75+J75)*'SSQ Metadata'!$B$15</f>
        <v>0</v>
      </c>
      <c r="O75" s="17" t="str">
        <f>IF(AND(C75="",G75="",K75=""),"",(C75+G75+K75)*'SSQ Metadata'!$B$15)</f>
        <v/>
      </c>
      <c r="P75" s="15" t="str">
        <f t="shared" si="4"/>
        <v/>
      </c>
      <c r="Q75" s="103" t="str">
        <f t="shared" si="5"/>
        <v/>
      </c>
      <c r="R75" s="103" t="str">
        <f t="shared" si="6"/>
        <v/>
      </c>
      <c r="S75" s="104" t="str">
        <f t="shared" si="7"/>
        <v/>
      </c>
    </row>
    <row r="76" spans="1:19" x14ac:dyDescent="0.2">
      <c r="A76" s="70">
        <v>73</v>
      </c>
      <c r="B76" s="99">
        <f>SSQ_Intermediate!B76+SSQ_Intermediate!G76+SSQ_Intermediate!H76+SSQ_Intermediate!I76+SSQ_Intermediate!J76+SSQ_Intermediate!P76+SSQ_Intermediate!Q76</f>
        <v>0</v>
      </c>
      <c r="C76" s="100" t="str">
        <f>IF(AND(SSQ_Intermediate!R76="",SSQ_Intermediate!W76="",SSQ_Intermediate!X76="",SSQ_Intermediate!Y76="",SSQ_Intermediate!Z76="",SSQ_Intermediate!AF76="",SSQ_Intermediate!AG76=""),"",SUM(SSQ_Intermediate!R76,SSQ_Intermediate!W76,SSQ_Intermediate!X76,SSQ_Intermediate!Y76,SSQ_Intermediate!Z76,SSQ_Intermediate!AF76,SSQ_Intermediate!AG76))</f>
        <v/>
      </c>
      <c r="D76" s="100">
        <f>B76*'SSQ Metadata'!$B$12</f>
        <v>0</v>
      </c>
      <c r="E76" s="22" t="str">
        <f>IF(C76="","",C76*'SSQ Metadata'!$B$12)</f>
        <v/>
      </c>
      <c r="F76" s="20">
        <f>SSQ_Intermediate!B76+SSQ_Intermediate!C76+SSQ_Intermediate!D76+SSQ_Intermediate!E76+SSQ_Intermediate!F76+SSQ_Intermediate!J76+SSQ_Intermediate!L76</f>
        <v>0</v>
      </c>
      <c r="G76" s="101" t="str">
        <f>IF(AND(SSQ_Intermediate!R76="",SSQ_Intermediate!S76="",SSQ_Intermediate!T76="",SSQ_Intermediate!U76="",SSQ_Intermediate!V76="",SSQ_Intermediate!Z76="",SSQ_Intermediate!AB76=""),"",SUM(SSQ_Intermediate!R76,SSQ_Intermediate!S76,SSQ_Intermediate!T76,SSQ_Intermediate!U76,SSQ_Intermediate!V76,SSQ_Intermediate!Z76,SSQ_Intermediate!AB76))</f>
        <v/>
      </c>
      <c r="H76" s="101">
        <f>F76*'SSQ Metadata'!$B$13</f>
        <v>0</v>
      </c>
      <c r="I76" s="21" t="str">
        <f>IF(G76="","",G76*'SSQ Metadata'!$B$13)</f>
        <v/>
      </c>
      <c r="J76" s="18">
        <f>SSQ_Intermediate!F76+SSQ_Intermediate!I76+SSQ_Intermediate!K76+SSQ_Intermediate!L76+SSQ_Intermediate!M76+SSQ_Intermediate!N76+SSQ_Intermediate!O76</f>
        <v>0</v>
      </c>
      <c r="K76" s="102" t="str">
        <f>IF(AND(SSQ_Intermediate!V76="",SSQ_Intermediate!Y76="",SSQ_Intermediate!AA76="",SSQ_Intermediate!AB76="",SSQ_Intermediate!AC76="",SSQ_Intermediate!AD76="",SSQ_Intermediate!AE76=""),"",SUM(SSQ_Intermediate!V76,SSQ_Intermediate!Y76,SSQ_Intermediate!AA76,SSQ_Intermediate!AB76,SSQ_Intermediate!AC76,SSQ_Intermediate!AD76,SSQ_Intermediate!AE76))</f>
        <v/>
      </c>
      <c r="L76" s="102">
        <f>J76*'SSQ Metadata'!$B$14</f>
        <v>0</v>
      </c>
      <c r="M76" s="19" t="str">
        <f>IF(K76="","",K76*'SSQ Metadata'!$B$14)</f>
        <v/>
      </c>
      <c r="N76" s="16">
        <f>(B76+F76+J76)*'SSQ Metadata'!$B$15</f>
        <v>0</v>
      </c>
      <c r="O76" s="17" t="str">
        <f>IF(AND(C76="",G76="",K76=""),"",(C76+G76+K76)*'SSQ Metadata'!$B$15)</f>
        <v/>
      </c>
      <c r="P76" s="15" t="str">
        <f t="shared" si="4"/>
        <v/>
      </c>
      <c r="Q76" s="103" t="str">
        <f t="shared" si="5"/>
        <v/>
      </c>
      <c r="R76" s="103" t="str">
        <f t="shared" si="6"/>
        <v/>
      </c>
      <c r="S76" s="104" t="str">
        <f t="shared" si="7"/>
        <v/>
      </c>
    </row>
    <row r="77" spans="1:19" x14ac:dyDescent="0.2">
      <c r="A77" s="70">
        <v>74</v>
      </c>
      <c r="B77" s="99">
        <f>SSQ_Intermediate!B77+SSQ_Intermediate!G77+SSQ_Intermediate!H77+SSQ_Intermediate!I77+SSQ_Intermediate!J77+SSQ_Intermediate!P77+SSQ_Intermediate!Q77</f>
        <v>0</v>
      </c>
      <c r="C77" s="100" t="str">
        <f>IF(AND(SSQ_Intermediate!R77="",SSQ_Intermediate!W77="",SSQ_Intermediate!X77="",SSQ_Intermediate!Y77="",SSQ_Intermediate!Z77="",SSQ_Intermediate!AF77="",SSQ_Intermediate!AG77=""),"",SUM(SSQ_Intermediate!R77,SSQ_Intermediate!W77,SSQ_Intermediate!X77,SSQ_Intermediate!Y77,SSQ_Intermediate!Z77,SSQ_Intermediate!AF77,SSQ_Intermediate!AG77))</f>
        <v/>
      </c>
      <c r="D77" s="100">
        <f>B77*'SSQ Metadata'!$B$12</f>
        <v>0</v>
      </c>
      <c r="E77" s="22" t="str">
        <f>IF(C77="","",C77*'SSQ Metadata'!$B$12)</f>
        <v/>
      </c>
      <c r="F77" s="20">
        <f>SSQ_Intermediate!B77+SSQ_Intermediate!C77+SSQ_Intermediate!D77+SSQ_Intermediate!E77+SSQ_Intermediate!F77+SSQ_Intermediate!J77+SSQ_Intermediate!L77</f>
        <v>0</v>
      </c>
      <c r="G77" s="101" t="str">
        <f>IF(AND(SSQ_Intermediate!R77="",SSQ_Intermediate!S77="",SSQ_Intermediate!T77="",SSQ_Intermediate!U77="",SSQ_Intermediate!V77="",SSQ_Intermediate!Z77="",SSQ_Intermediate!AB77=""),"",SUM(SSQ_Intermediate!R77,SSQ_Intermediate!S77,SSQ_Intermediate!T77,SSQ_Intermediate!U77,SSQ_Intermediate!V77,SSQ_Intermediate!Z77,SSQ_Intermediate!AB77))</f>
        <v/>
      </c>
      <c r="H77" s="101">
        <f>F77*'SSQ Metadata'!$B$13</f>
        <v>0</v>
      </c>
      <c r="I77" s="21" t="str">
        <f>IF(G77="","",G77*'SSQ Metadata'!$B$13)</f>
        <v/>
      </c>
      <c r="J77" s="18">
        <f>SSQ_Intermediate!F77+SSQ_Intermediate!I77+SSQ_Intermediate!K77+SSQ_Intermediate!L77+SSQ_Intermediate!M77+SSQ_Intermediate!N77+SSQ_Intermediate!O77</f>
        <v>0</v>
      </c>
      <c r="K77" s="102" t="str">
        <f>IF(AND(SSQ_Intermediate!V77="",SSQ_Intermediate!Y77="",SSQ_Intermediate!AA77="",SSQ_Intermediate!AB77="",SSQ_Intermediate!AC77="",SSQ_Intermediate!AD77="",SSQ_Intermediate!AE77=""),"",SUM(SSQ_Intermediate!V77,SSQ_Intermediate!Y77,SSQ_Intermediate!AA77,SSQ_Intermediate!AB77,SSQ_Intermediate!AC77,SSQ_Intermediate!AD77,SSQ_Intermediate!AE77))</f>
        <v/>
      </c>
      <c r="L77" s="102">
        <f>J77*'SSQ Metadata'!$B$14</f>
        <v>0</v>
      </c>
      <c r="M77" s="19" t="str">
        <f>IF(K77="","",K77*'SSQ Metadata'!$B$14)</f>
        <v/>
      </c>
      <c r="N77" s="16">
        <f>(B77+F77+J77)*'SSQ Metadata'!$B$15</f>
        <v>0</v>
      </c>
      <c r="O77" s="17" t="str">
        <f>IF(AND(C77="",G77="",K77=""),"",(C77+G77+K77)*'SSQ Metadata'!$B$15)</f>
        <v/>
      </c>
      <c r="P77" s="15" t="str">
        <f t="shared" si="4"/>
        <v/>
      </c>
      <c r="Q77" s="103" t="str">
        <f t="shared" si="5"/>
        <v/>
      </c>
      <c r="R77" s="103" t="str">
        <f t="shared" si="6"/>
        <v/>
      </c>
      <c r="S77" s="104" t="str">
        <f t="shared" si="7"/>
        <v/>
      </c>
    </row>
    <row r="78" spans="1:19" x14ac:dyDescent="0.2">
      <c r="A78" s="70">
        <v>75</v>
      </c>
      <c r="B78" s="99">
        <f>SSQ_Intermediate!B78+SSQ_Intermediate!G78+SSQ_Intermediate!H78+SSQ_Intermediate!I78+SSQ_Intermediate!J78+SSQ_Intermediate!P78+SSQ_Intermediate!Q78</f>
        <v>0</v>
      </c>
      <c r="C78" s="100" t="str">
        <f>IF(AND(SSQ_Intermediate!R78="",SSQ_Intermediate!W78="",SSQ_Intermediate!X78="",SSQ_Intermediate!Y78="",SSQ_Intermediate!Z78="",SSQ_Intermediate!AF78="",SSQ_Intermediate!AG78=""),"",SUM(SSQ_Intermediate!R78,SSQ_Intermediate!W78,SSQ_Intermediate!X78,SSQ_Intermediate!Y78,SSQ_Intermediate!Z78,SSQ_Intermediate!AF78,SSQ_Intermediate!AG78))</f>
        <v/>
      </c>
      <c r="D78" s="100">
        <f>B78*'SSQ Metadata'!$B$12</f>
        <v>0</v>
      </c>
      <c r="E78" s="22" t="str">
        <f>IF(C78="","",C78*'SSQ Metadata'!$B$12)</f>
        <v/>
      </c>
      <c r="F78" s="20">
        <f>SSQ_Intermediate!B78+SSQ_Intermediate!C78+SSQ_Intermediate!D78+SSQ_Intermediate!E78+SSQ_Intermediate!F78+SSQ_Intermediate!J78+SSQ_Intermediate!L78</f>
        <v>0</v>
      </c>
      <c r="G78" s="101" t="str">
        <f>IF(AND(SSQ_Intermediate!R78="",SSQ_Intermediate!S78="",SSQ_Intermediate!T78="",SSQ_Intermediate!U78="",SSQ_Intermediate!V78="",SSQ_Intermediate!Z78="",SSQ_Intermediate!AB78=""),"",SUM(SSQ_Intermediate!R78,SSQ_Intermediate!S78,SSQ_Intermediate!T78,SSQ_Intermediate!U78,SSQ_Intermediate!V78,SSQ_Intermediate!Z78,SSQ_Intermediate!AB78))</f>
        <v/>
      </c>
      <c r="H78" s="101">
        <f>F78*'SSQ Metadata'!$B$13</f>
        <v>0</v>
      </c>
      <c r="I78" s="21" t="str">
        <f>IF(G78="","",G78*'SSQ Metadata'!$B$13)</f>
        <v/>
      </c>
      <c r="J78" s="18">
        <f>SSQ_Intermediate!F78+SSQ_Intermediate!I78+SSQ_Intermediate!K78+SSQ_Intermediate!L78+SSQ_Intermediate!M78+SSQ_Intermediate!N78+SSQ_Intermediate!O78</f>
        <v>0</v>
      </c>
      <c r="K78" s="102" t="str">
        <f>IF(AND(SSQ_Intermediate!V78="",SSQ_Intermediate!Y78="",SSQ_Intermediate!AA78="",SSQ_Intermediate!AB78="",SSQ_Intermediate!AC78="",SSQ_Intermediate!AD78="",SSQ_Intermediate!AE78=""),"",SUM(SSQ_Intermediate!V78,SSQ_Intermediate!Y78,SSQ_Intermediate!AA78,SSQ_Intermediate!AB78,SSQ_Intermediate!AC78,SSQ_Intermediate!AD78,SSQ_Intermediate!AE78))</f>
        <v/>
      </c>
      <c r="L78" s="102">
        <f>J78*'SSQ Metadata'!$B$14</f>
        <v>0</v>
      </c>
      <c r="M78" s="19" t="str">
        <f>IF(K78="","",K78*'SSQ Metadata'!$B$14)</f>
        <v/>
      </c>
      <c r="N78" s="16">
        <f>(B78+F78+J78)*'SSQ Metadata'!$B$15</f>
        <v>0</v>
      </c>
      <c r="O78" s="17" t="str">
        <f>IF(AND(C78="",G78="",K78=""),"",(C78+G78+K78)*'SSQ Metadata'!$B$15)</f>
        <v/>
      </c>
      <c r="P78" s="15" t="str">
        <f t="shared" si="4"/>
        <v/>
      </c>
      <c r="Q78" s="103" t="str">
        <f t="shared" si="5"/>
        <v/>
      </c>
      <c r="R78" s="103" t="str">
        <f t="shared" si="6"/>
        <v/>
      </c>
      <c r="S78" s="104" t="str">
        <f t="shared" si="7"/>
        <v/>
      </c>
    </row>
    <row r="79" spans="1:19" x14ac:dyDescent="0.2">
      <c r="A79" s="70">
        <v>76</v>
      </c>
      <c r="B79" s="99">
        <f>SSQ_Intermediate!B79+SSQ_Intermediate!G79+SSQ_Intermediate!H79+SSQ_Intermediate!I79+SSQ_Intermediate!J79+SSQ_Intermediate!P79+SSQ_Intermediate!Q79</f>
        <v>0</v>
      </c>
      <c r="C79" s="100" t="str">
        <f>IF(AND(SSQ_Intermediate!R79="",SSQ_Intermediate!W79="",SSQ_Intermediate!X79="",SSQ_Intermediate!Y79="",SSQ_Intermediate!Z79="",SSQ_Intermediate!AF79="",SSQ_Intermediate!AG79=""),"",SUM(SSQ_Intermediate!R79,SSQ_Intermediate!W79,SSQ_Intermediate!X79,SSQ_Intermediate!Y79,SSQ_Intermediate!Z79,SSQ_Intermediate!AF79,SSQ_Intermediate!AG79))</f>
        <v/>
      </c>
      <c r="D79" s="100">
        <f>B79*'SSQ Metadata'!$B$12</f>
        <v>0</v>
      </c>
      <c r="E79" s="22" t="str">
        <f>IF(C79="","",C79*'SSQ Metadata'!$B$12)</f>
        <v/>
      </c>
      <c r="F79" s="20">
        <f>SSQ_Intermediate!B79+SSQ_Intermediate!C79+SSQ_Intermediate!D79+SSQ_Intermediate!E79+SSQ_Intermediate!F79+SSQ_Intermediate!J79+SSQ_Intermediate!L79</f>
        <v>0</v>
      </c>
      <c r="G79" s="101" t="str">
        <f>IF(AND(SSQ_Intermediate!R79="",SSQ_Intermediate!S79="",SSQ_Intermediate!T79="",SSQ_Intermediate!U79="",SSQ_Intermediate!V79="",SSQ_Intermediate!Z79="",SSQ_Intermediate!AB79=""),"",SUM(SSQ_Intermediate!R79,SSQ_Intermediate!S79,SSQ_Intermediate!T79,SSQ_Intermediate!U79,SSQ_Intermediate!V79,SSQ_Intermediate!Z79,SSQ_Intermediate!AB79))</f>
        <v/>
      </c>
      <c r="H79" s="101">
        <f>F79*'SSQ Metadata'!$B$13</f>
        <v>0</v>
      </c>
      <c r="I79" s="21" t="str">
        <f>IF(G79="","",G79*'SSQ Metadata'!$B$13)</f>
        <v/>
      </c>
      <c r="J79" s="18">
        <f>SSQ_Intermediate!F79+SSQ_Intermediate!I79+SSQ_Intermediate!K79+SSQ_Intermediate!L79+SSQ_Intermediate!M79+SSQ_Intermediate!N79+SSQ_Intermediate!O79</f>
        <v>0</v>
      </c>
      <c r="K79" s="102" t="str">
        <f>IF(AND(SSQ_Intermediate!V79="",SSQ_Intermediate!Y79="",SSQ_Intermediate!AA79="",SSQ_Intermediate!AB79="",SSQ_Intermediate!AC79="",SSQ_Intermediate!AD79="",SSQ_Intermediate!AE79=""),"",SUM(SSQ_Intermediate!V79,SSQ_Intermediate!Y79,SSQ_Intermediate!AA79,SSQ_Intermediate!AB79,SSQ_Intermediate!AC79,SSQ_Intermediate!AD79,SSQ_Intermediate!AE79))</f>
        <v/>
      </c>
      <c r="L79" s="102">
        <f>J79*'SSQ Metadata'!$B$14</f>
        <v>0</v>
      </c>
      <c r="M79" s="19" t="str">
        <f>IF(K79="","",K79*'SSQ Metadata'!$B$14)</f>
        <v/>
      </c>
      <c r="N79" s="16">
        <f>(B79+F79+J79)*'SSQ Metadata'!$B$15</f>
        <v>0</v>
      </c>
      <c r="O79" s="17" t="str">
        <f>IF(AND(C79="",G79="",K79=""),"",(C79+G79+K79)*'SSQ Metadata'!$B$15)</f>
        <v/>
      </c>
      <c r="P79" s="15" t="str">
        <f t="shared" si="4"/>
        <v/>
      </c>
      <c r="Q79" s="103" t="str">
        <f t="shared" si="5"/>
        <v/>
      </c>
      <c r="R79" s="103" t="str">
        <f t="shared" si="6"/>
        <v/>
      </c>
      <c r="S79" s="104" t="str">
        <f t="shared" si="7"/>
        <v/>
      </c>
    </row>
    <row r="80" spans="1:19" x14ac:dyDescent="0.2">
      <c r="A80" s="70">
        <v>77</v>
      </c>
      <c r="B80" s="99">
        <f>SSQ_Intermediate!B80+SSQ_Intermediate!G80+SSQ_Intermediate!H80+SSQ_Intermediate!I80+SSQ_Intermediate!J80+SSQ_Intermediate!P80+SSQ_Intermediate!Q80</f>
        <v>0</v>
      </c>
      <c r="C80" s="100" t="str">
        <f>IF(AND(SSQ_Intermediate!R80="",SSQ_Intermediate!W80="",SSQ_Intermediate!X80="",SSQ_Intermediate!Y80="",SSQ_Intermediate!Z80="",SSQ_Intermediate!AF80="",SSQ_Intermediate!AG80=""),"",SUM(SSQ_Intermediate!R80,SSQ_Intermediate!W80,SSQ_Intermediate!X80,SSQ_Intermediate!Y80,SSQ_Intermediate!Z80,SSQ_Intermediate!AF80,SSQ_Intermediate!AG80))</f>
        <v/>
      </c>
      <c r="D80" s="100">
        <f>B80*'SSQ Metadata'!$B$12</f>
        <v>0</v>
      </c>
      <c r="E80" s="22" t="str">
        <f>IF(C80="","",C80*'SSQ Metadata'!$B$12)</f>
        <v/>
      </c>
      <c r="F80" s="20">
        <f>SSQ_Intermediate!B80+SSQ_Intermediate!C80+SSQ_Intermediate!D80+SSQ_Intermediate!E80+SSQ_Intermediate!F80+SSQ_Intermediate!J80+SSQ_Intermediate!L80</f>
        <v>0</v>
      </c>
      <c r="G80" s="101" t="str">
        <f>IF(AND(SSQ_Intermediate!R80="",SSQ_Intermediate!S80="",SSQ_Intermediate!T80="",SSQ_Intermediate!U80="",SSQ_Intermediate!V80="",SSQ_Intermediate!Z80="",SSQ_Intermediate!AB80=""),"",SUM(SSQ_Intermediate!R80,SSQ_Intermediate!S80,SSQ_Intermediate!T80,SSQ_Intermediate!U80,SSQ_Intermediate!V80,SSQ_Intermediate!Z80,SSQ_Intermediate!AB80))</f>
        <v/>
      </c>
      <c r="H80" s="101">
        <f>F80*'SSQ Metadata'!$B$13</f>
        <v>0</v>
      </c>
      <c r="I80" s="21" t="str">
        <f>IF(G80="","",G80*'SSQ Metadata'!$B$13)</f>
        <v/>
      </c>
      <c r="J80" s="18">
        <f>SSQ_Intermediate!F80+SSQ_Intermediate!I80+SSQ_Intermediate!K80+SSQ_Intermediate!L80+SSQ_Intermediate!M80+SSQ_Intermediate!N80+SSQ_Intermediate!O80</f>
        <v>0</v>
      </c>
      <c r="K80" s="102" t="str">
        <f>IF(AND(SSQ_Intermediate!V80="",SSQ_Intermediate!Y80="",SSQ_Intermediate!AA80="",SSQ_Intermediate!AB80="",SSQ_Intermediate!AC80="",SSQ_Intermediate!AD80="",SSQ_Intermediate!AE80=""),"",SUM(SSQ_Intermediate!V80,SSQ_Intermediate!Y80,SSQ_Intermediate!AA80,SSQ_Intermediate!AB80,SSQ_Intermediate!AC80,SSQ_Intermediate!AD80,SSQ_Intermediate!AE80))</f>
        <v/>
      </c>
      <c r="L80" s="102">
        <f>J80*'SSQ Metadata'!$B$14</f>
        <v>0</v>
      </c>
      <c r="M80" s="19" t="str">
        <f>IF(K80="","",K80*'SSQ Metadata'!$B$14)</f>
        <v/>
      </c>
      <c r="N80" s="16">
        <f>(B80+F80+J80)*'SSQ Metadata'!$B$15</f>
        <v>0</v>
      </c>
      <c r="O80" s="17" t="str">
        <f>IF(AND(C80="",G80="",K80=""),"",(C80+G80+K80)*'SSQ Metadata'!$B$15)</f>
        <v/>
      </c>
      <c r="P80" s="15" t="str">
        <f t="shared" si="4"/>
        <v/>
      </c>
      <c r="Q80" s="103" t="str">
        <f t="shared" si="5"/>
        <v/>
      </c>
      <c r="R80" s="103" t="str">
        <f t="shared" si="6"/>
        <v/>
      </c>
      <c r="S80" s="104" t="str">
        <f t="shared" si="7"/>
        <v/>
      </c>
    </row>
    <row r="81" spans="1:19" x14ac:dyDescent="0.2">
      <c r="A81" s="70">
        <v>78</v>
      </c>
      <c r="B81" s="99">
        <f>SSQ_Intermediate!B81+SSQ_Intermediate!G81+SSQ_Intermediate!H81+SSQ_Intermediate!I81+SSQ_Intermediate!J81+SSQ_Intermediate!P81+SSQ_Intermediate!Q81</f>
        <v>0</v>
      </c>
      <c r="C81" s="100" t="str">
        <f>IF(AND(SSQ_Intermediate!R81="",SSQ_Intermediate!W81="",SSQ_Intermediate!X81="",SSQ_Intermediate!Y81="",SSQ_Intermediate!Z81="",SSQ_Intermediate!AF81="",SSQ_Intermediate!AG81=""),"",SUM(SSQ_Intermediate!R81,SSQ_Intermediate!W81,SSQ_Intermediate!X81,SSQ_Intermediate!Y81,SSQ_Intermediate!Z81,SSQ_Intermediate!AF81,SSQ_Intermediate!AG81))</f>
        <v/>
      </c>
      <c r="D81" s="100">
        <f>B81*'SSQ Metadata'!$B$12</f>
        <v>0</v>
      </c>
      <c r="E81" s="22" t="str">
        <f>IF(C81="","",C81*'SSQ Metadata'!$B$12)</f>
        <v/>
      </c>
      <c r="F81" s="20">
        <f>SSQ_Intermediate!B81+SSQ_Intermediate!C81+SSQ_Intermediate!D81+SSQ_Intermediate!E81+SSQ_Intermediate!F81+SSQ_Intermediate!J81+SSQ_Intermediate!L81</f>
        <v>0</v>
      </c>
      <c r="G81" s="101" t="str">
        <f>IF(AND(SSQ_Intermediate!R81="",SSQ_Intermediate!S81="",SSQ_Intermediate!T81="",SSQ_Intermediate!U81="",SSQ_Intermediate!V81="",SSQ_Intermediate!Z81="",SSQ_Intermediate!AB81=""),"",SUM(SSQ_Intermediate!R81,SSQ_Intermediate!S81,SSQ_Intermediate!T81,SSQ_Intermediate!U81,SSQ_Intermediate!V81,SSQ_Intermediate!Z81,SSQ_Intermediate!AB81))</f>
        <v/>
      </c>
      <c r="H81" s="101">
        <f>F81*'SSQ Metadata'!$B$13</f>
        <v>0</v>
      </c>
      <c r="I81" s="21" t="str">
        <f>IF(G81="","",G81*'SSQ Metadata'!$B$13)</f>
        <v/>
      </c>
      <c r="J81" s="18">
        <f>SSQ_Intermediate!F81+SSQ_Intermediate!I81+SSQ_Intermediate!K81+SSQ_Intermediate!L81+SSQ_Intermediate!M81+SSQ_Intermediate!N81+SSQ_Intermediate!O81</f>
        <v>0</v>
      </c>
      <c r="K81" s="102" t="str">
        <f>IF(AND(SSQ_Intermediate!V81="",SSQ_Intermediate!Y81="",SSQ_Intermediate!AA81="",SSQ_Intermediate!AB81="",SSQ_Intermediate!AC81="",SSQ_Intermediate!AD81="",SSQ_Intermediate!AE81=""),"",SUM(SSQ_Intermediate!V81,SSQ_Intermediate!Y81,SSQ_Intermediate!AA81,SSQ_Intermediate!AB81,SSQ_Intermediate!AC81,SSQ_Intermediate!AD81,SSQ_Intermediate!AE81))</f>
        <v/>
      </c>
      <c r="L81" s="102">
        <f>J81*'SSQ Metadata'!$B$14</f>
        <v>0</v>
      </c>
      <c r="M81" s="19" t="str">
        <f>IF(K81="","",K81*'SSQ Metadata'!$B$14)</f>
        <v/>
      </c>
      <c r="N81" s="16">
        <f>(B81+F81+J81)*'SSQ Metadata'!$B$15</f>
        <v>0</v>
      </c>
      <c r="O81" s="17" t="str">
        <f>IF(AND(C81="",G81="",K81=""),"",(C81+G81+K81)*'SSQ Metadata'!$B$15)</f>
        <v/>
      </c>
      <c r="P81" s="15" t="str">
        <f t="shared" si="4"/>
        <v/>
      </c>
      <c r="Q81" s="103" t="str">
        <f t="shared" si="5"/>
        <v/>
      </c>
      <c r="R81" s="103" t="str">
        <f t="shared" si="6"/>
        <v/>
      </c>
      <c r="S81" s="104" t="str">
        <f t="shared" si="7"/>
        <v/>
      </c>
    </row>
    <row r="82" spans="1:19" x14ac:dyDescent="0.2">
      <c r="A82" s="70">
        <v>79</v>
      </c>
      <c r="B82" s="99">
        <f>SSQ_Intermediate!B82+SSQ_Intermediate!G82+SSQ_Intermediate!H82+SSQ_Intermediate!I82+SSQ_Intermediate!J82+SSQ_Intermediate!P82+SSQ_Intermediate!Q82</f>
        <v>0</v>
      </c>
      <c r="C82" s="100" t="str">
        <f>IF(AND(SSQ_Intermediate!R82="",SSQ_Intermediate!W82="",SSQ_Intermediate!X82="",SSQ_Intermediate!Y82="",SSQ_Intermediate!Z82="",SSQ_Intermediate!AF82="",SSQ_Intermediate!AG82=""),"",SUM(SSQ_Intermediate!R82,SSQ_Intermediate!W82,SSQ_Intermediate!X82,SSQ_Intermediate!Y82,SSQ_Intermediate!Z82,SSQ_Intermediate!AF82,SSQ_Intermediate!AG82))</f>
        <v/>
      </c>
      <c r="D82" s="100">
        <f>B82*'SSQ Metadata'!$B$12</f>
        <v>0</v>
      </c>
      <c r="E82" s="22" t="str">
        <f>IF(C82="","",C82*'SSQ Metadata'!$B$12)</f>
        <v/>
      </c>
      <c r="F82" s="20">
        <f>SSQ_Intermediate!B82+SSQ_Intermediate!C82+SSQ_Intermediate!D82+SSQ_Intermediate!E82+SSQ_Intermediate!F82+SSQ_Intermediate!J82+SSQ_Intermediate!L82</f>
        <v>0</v>
      </c>
      <c r="G82" s="101" t="str">
        <f>IF(AND(SSQ_Intermediate!R82="",SSQ_Intermediate!S82="",SSQ_Intermediate!T82="",SSQ_Intermediate!U82="",SSQ_Intermediate!V82="",SSQ_Intermediate!Z82="",SSQ_Intermediate!AB82=""),"",SUM(SSQ_Intermediate!R82,SSQ_Intermediate!S82,SSQ_Intermediate!T82,SSQ_Intermediate!U82,SSQ_Intermediate!V82,SSQ_Intermediate!Z82,SSQ_Intermediate!AB82))</f>
        <v/>
      </c>
      <c r="H82" s="101">
        <f>F82*'SSQ Metadata'!$B$13</f>
        <v>0</v>
      </c>
      <c r="I82" s="21" t="str">
        <f>IF(G82="","",G82*'SSQ Metadata'!$B$13)</f>
        <v/>
      </c>
      <c r="J82" s="18">
        <f>SSQ_Intermediate!F82+SSQ_Intermediate!I82+SSQ_Intermediate!K82+SSQ_Intermediate!L82+SSQ_Intermediate!M82+SSQ_Intermediate!N82+SSQ_Intermediate!O82</f>
        <v>0</v>
      </c>
      <c r="K82" s="102" t="str">
        <f>IF(AND(SSQ_Intermediate!V82="",SSQ_Intermediate!Y82="",SSQ_Intermediate!AA82="",SSQ_Intermediate!AB82="",SSQ_Intermediate!AC82="",SSQ_Intermediate!AD82="",SSQ_Intermediate!AE82=""),"",SUM(SSQ_Intermediate!V82,SSQ_Intermediate!Y82,SSQ_Intermediate!AA82,SSQ_Intermediate!AB82,SSQ_Intermediate!AC82,SSQ_Intermediate!AD82,SSQ_Intermediate!AE82))</f>
        <v/>
      </c>
      <c r="L82" s="102">
        <f>J82*'SSQ Metadata'!$B$14</f>
        <v>0</v>
      </c>
      <c r="M82" s="19" t="str">
        <f>IF(K82="","",K82*'SSQ Metadata'!$B$14)</f>
        <v/>
      </c>
      <c r="N82" s="16">
        <f>(B82+F82+J82)*'SSQ Metadata'!$B$15</f>
        <v>0</v>
      </c>
      <c r="O82" s="17" t="str">
        <f>IF(AND(C82="",G82="",K82=""),"",(C82+G82+K82)*'SSQ Metadata'!$B$15)</f>
        <v/>
      </c>
      <c r="P82" s="15" t="str">
        <f t="shared" si="4"/>
        <v/>
      </c>
      <c r="Q82" s="103" t="str">
        <f t="shared" si="5"/>
        <v/>
      </c>
      <c r="R82" s="103" t="str">
        <f t="shared" si="6"/>
        <v/>
      </c>
      <c r="S82" s="104" t="str">
        <f t="shared" si="7"/>
        <v/>
      </c>
    </row>
    <row r="83" spans="1:19" x14ac:dyDescent="0.2">
      <c r="A83" s="70">
        <v>80</v>
      </c>
      <c r="B83" s="99">
        <f>SSQ_Intermediate!B83+SSQ_Intermediate!G83+SSQ_Intermediate!H83+SSQ_Intermediate!I83+SSQ_Intermediate!J83+SSQ_Intermediate!P83+SSQ_Intermediate!Q83</f>
        <v>0</v>
      </c>
      <c r="C83" s="100" t="str">
        <f>IF(AND(SSQ_Intermediate!R83="",SSQ_Intermediate!W83="",SSQ_Intermediate!X83="",SSQ_Intermediate!Y83="",SSQ_Intermediate!Z83="",SSQ_Intermediate!AF83="",SSQ_Intermediate!AG83=""),"",SUM(SSQ_Intermediate!R83,SSQ_Intermediate!W83,SSQ_Intermediate!X83,SSQ_Intermediate!Y83,SSQ_Intermediate!Z83,SSQ_Intermediate!AF83,SSQ_Intermediate!AG83))</f>
        <v/>
      </c>
      <c r="D83" s="100">
        <f>B83*'SSQ Metadata'!$B$12</f>
        <v>0</v>
      </c>
      <c r="E83" s="22" t="str">
        <f>IF(C83="","",C83*'SSQ Metadata'!$B$12)</f>
        <v/>
      </c>
      <c r="F83" s="20">
        <f>SSQ_Intermediate!B83+SSQ_Intermediate!C83+SSQ_Intermediate!D83+SSQ_Intermediate!E83+SSQ_Intermediate!F83+SSQ_Intermediate!J83+SSQ_Intermediate!L83</f>
        <v>0</v>
      </c>
      <c r="G83" s="101" t="str">
        <f>IF(AND(SSQ_Intermediate!R83="",SSQ_Intermediate!S83="",SSQ_Intermediate!T83="",SSQ_Intermediate!U83="",SSQ_Intermediate!V83="",SSQ_Intermediate!Z83="",SSQ_Intermediate!AB83=""),"",SUM(SSQ_Intermediate!R83,SSQ_Intermediate!S83,SSQ_Intermediate!T83,SSQ_Intermediate!U83,SSQ_Intermediate!V83,SSQ_Intermediate!Z83,SSQ_Intermediate!AB83))</f>
        <v/>
      </c>
      <c r="H83" s="101">
        <f>F83*'SSQ Metadata'!$B$13</f>
        <v>0</v>
      </c>
      <c r="I83" s="21" t="str">
        <f>IF(G83="","",G83*'SSQ Metadata'!$B$13)</f>
        <v/>
      </c>
      <c r="J83" s="18">
        <f>SSQ_Intermediate!F83+SSQ_Intermediate!I83+SSQ_Intermediate!K83+SSQ_Intermediate!L83+SSQ_Intermediate!M83+SSQ_Intermediate!N83+SSQ_Intermediate!O83</f>
        <v>0</v>
      </c>
      <c r="K83" s="102" t="str">
        <f>IF(AND(SSQ_Intermediate!V83="",SSQ_Intermediate!Y83="",SSQ_Intermediate!AA83="",SSQ_Intermediate!AB83="",SSQ_Intermediate!AC83="",SSQ_Intermediate!AD83="",SSQ_Intermediate!AE83=""),"",SUM(SSQ_Intermediate!V83,SSQ_Intermediate!Y83,SSQ_Intermediate!AA83,SSQ_Intermediate!AB83,SSQ_Intermediate!AC83,SSQ_Intermediate!AD83,SSQ_Intermediate!AE83))</f>
        <v/>
      </c>
      <c r="L83" s="102">
        <f>J83*'SSQ Metadata'!$B$14</f>
        <v>0</v>
      </c>
      <c r="M83" s="19" t="str">
        <f>IF(K83="","",K83*'SSQ Metadata'!$B$14)</f>
        <v/>
      </c>
      <c r="N83" s="16">
        <f>(B83+F83+J83)*'SSQ Metadata'!$B$15</f>
        <v>0</v>
      </c>
      <c r="O83" s="17" t="str">
        <f>IF(AND(C83="",G83="",K83=""),"",(C83+G83+K83)*'SSQ Metadata'!$B$15)</f>
        <v/>
      </c>
      <c r="P83" s="15" t="str">
        <f t="shared" si="4"/>
        <v/>
      </c>
      <c r="Q83" s="103" t="str">
        <f t="shared" si="5"/>
        <v/>
      </c>
      <c r="R83" s="103" t="str">
        <f t="shared" si="6"/>
        <v/>
      </c>
      <c r="S83" s="104" t="str">
        <f t="shared" si="7"/>
        <v/>
      </c>
    </row>
    <row r="84" spans="1:19" x14ac:dyDescent="0.2">
      <c r="A84" s="70">
        <v>81</v>
      </c>
      <c r="B84" s="99">
        <f>SSQ_Intermediate!B84+SSQ_Intermediate!G84+SSQ_Intermediate!H84+SSQ_Intermediate!I84+SSQ_Intermediate!J84+SSQ_Intermediate!P84+SSQ_Intermediate!Q84</f>
        <v>0</v>
      </c>
      <c r="C84" s="100" t="str">
        <f>IF(AND(SSQ_Intermediate!R84="",SSQ_Intermediate!W84="",SSQ_Intermediate!X84="",SSQ_Intermediate!Y84="",SSQ_Intermediate!Z84="",SSQ_Intermediate!AF84="",SSQ_Intermediate!AG84=""),"",SUM(SSQ_Intermediate!R84,SSQ_Intermediate!W84,SSQ_Intermediate!X84,SSQ_Intermediate!Y84,SSQ_Intermediate!Z84,SSQ_Intermediate!AF84,SSQ_Intermediate!AG84))</f>
        <v/>
      </c>
      <c r="D84" s="100">
        <f>B84*'SSQ Metadata'!$B$12</f>
        <v>0</v>
      </c>
      <c r="E84" s="22" t="str">
        <f>IF(C84="","",C84*'SSQ Metadata'!$B$12)</f>
        <v/>
      </c>
      <c r="F84" s="20">
        <f>SSQ_Intermediate!B84+SSQ_Intermediate!C84+SSQ_Intermediate!D84+SSQ_Intermediate!E84+SSQ_Intermediate!F84+SSQ_Intermediate!J84+SSQ_Intermediate!L84</f>
        <v>0</v>
      </c>
      <c r="G84" s="101" t="str">
        <f>IF(AND(SSQ_Intermediate!R84="",SSQ_Intermediate!S84="",SSQ_Intermediate!T84="",SSQ_Intermediate!U84="",SSQ_Intermediate!V84="",SSQ_Intermediate!Z84="",SSQ_Intermediate!AB84=""),"",SUM(SSQ_Intermediate!R84,SSQ_Intermediate!S84,SSQ_Intermediate!T84,SSQ_Intermediate!U84,SSQ_Intermediate!V84,SSQ_Intermediate!Z84,SSQ_Intermediate!AB84))</f>
        <v/>
      </c>
      <c r="H84" s="101">
        <f>F84*'SSQ Metadata'!$B$13</f>
        <v>0</v>
      </c>
      <c r="I84" s="21" t="str">
        <f>IF(G84="","",G84*'SSQ Metadata'!$B$13)</f>
        <v/>
      </c>
      <c r="J84" s="18">
        <f>SSQ_Intermediate!F84+SSQ_Intermediate!I84+SSQ_Intermediate!K84+SSQ_Intermediate!L84+SSQ_Intermediate!M84+SSQ_Intermediate!N84+SSQ_Intermediate!O84</f>
        <v>0</v>
      </c>
      <c r="K84" s="102" t="str">
        <f>IF(AND(SSQ_Intermediate!V84="",SSQ_Intermediate!Y84="",SSQ_Intermediate!AA84="",SSQ_Intermediate!AB84="",SSQ_Intermediate!AC84="",SSQ_Intermediate!AD84="",SSQ_Intermediate!AE84=""),"",SUM(SSQ_Intermediate!V84,SSQ_Intermediate!Y84,SSQ_Intermediate!AA84,SSQ_Intermediate!AB84,SSQ_Intermediate!AC84,SSQ_Intermediate!AD84,SSQ_Intermediate!AE84))</f>
        <v/>
      </c>
      <c r="L84" s="102">
        <f>J84*'SSQ Metadata'!$B$14</f>
        <v>0</v>
      </c>
      <c r="M84" s="19" t="str">
        <f>IF(K84="","",K84*'SSQ Metadata'!$B$14)</f>
        <v/>
      </c>
      <c r="N84" s="16">
        <f>(B84+F84+J84)*'SSQ Metadata'!$B$15</f>
        <v>0</v>
      </c>
      <c r="O84" s="17" t="str">
        <f>IF(AND(C84="",G84="",K84=""),"",(C84+G84+K84)*'SSQ Metadata'!$B$15)</f>
        <v/>
      </c>
      <c r="P84" s="15" t="str">
        <f t="shared" si="4"/>
        <v/>
      </c>
      <c r="Q84" s="103" t="str">
        <f t="shared" si="5"/>
        <v/>
      </c>
      <c r="R84" s="103" t="str">
        <f t="shared" si="6"/>
        <v/>
      </c>
      <c r="S84" s="104" t="str">
        <f t="shared" si="7"/>
        <v/>
      </c>
    </row>
    <row r="85" spans="1:19" x14ac:dyDescent="0.2">
      <c r="A85" s="70">
        <v>82</v>
      </c>
      <c r="B85" s="99">
        <f>SSQ_Intermediate!B85+SSQ_Intermediate!G85+SSQ_Intermediate!H85+SSQ_Intermediate!I85+SSQ_Intermediate!J85+SSQ_Intermediate!P85+SSQ_Intermediate!Q85</f>
        <v>0</v>
      </c>
      <c r="C85" s="100" t="str">
        <f>IF(AND(SSQ_Intermediate!R85="",SSQ_Intermediate!W85="",SSQ_Intermediate!X85="",SSQ_Intermediate!Y85="",SSQ_Intermediate!Z85="",SSQ_Intermediate!AF85="",SSQ_Intermediate!AG85=""),"",SUM(SSQ_Intermediate!R85,SSQ_Intermediate!W85,SSQ_Intermediate!X85,SSQ_Intermediate!Y85,SSQ_Intermediate!Z85,SSQ_Intermediate!AF85,SSQ_Intermediate!AG85))</f>
        <v/>
      </c>
      <c r="D85" s="100">
        <f>B85*'SSQ Metadata'!$B$12</f>
        <v>0</v>
      </c>
      <c r="E85" s="22" t="str">
        <f>IF(C85="","",C85*'SSQ Metadata'!$B$12)</f>
        <v/>
      </c>
      <c r="F85" s="20">
        <f>SSQ_Intermediate!B85+SSQ_Intermediate!C85+SSQ_Intermediate!D85+SSQ_Intermediate!E85+SSQ_Intermediate!F85+SSQ_Intermediate!J85+SSQ_Intermediate!L85</f>
        <v>0</v>
      </c>
      <c r="G85" s="101" t="str">
        <f>IF(AND(SSQ_Intermediate!R85="",SSQ_Intermediate!S85="",SSQ_Intermediate!T85="",SSQ_Intermediate!U85="",SSQ_Intermediate!V85="",SSQ_Intermediate!Z85="",SSQ_Intermediate!AB85=""),"",SUM(SSQ_Intermediate!R85,SSQ_Intermediate!S85,SSQ_Intermediate!T85,SSQ_Intermediate!U85,SSQ_Intermediate!V85,SSQ_Intermediate!Z85,SSQ_Intermediate!AB85))</f>
        <v/>
      </c>
      <c r="H85" s="101">
        <f>F85*'SSQ Metadata'!$B$13</f>
        <v>0</v>
      </c>
      <c r="I85" s="21" t="str">
        <f>IF(G85="","",G85*'SSQ Metadata'!$B$13)</f>
        <v/>
      </c>
      <c r="J85" s="18">
        <f>SSQ_Intermediate!F85+SSQ_Intermediate!I85+SSQ_Intermediate!K85+SSQ_Intermediate!L85+SSQ_Intermediate!M85+SSQ_Intermediate!N85+SSQ_Intermediate!O85</f>
        <v>0</v>
      </c>
      <c r="K85" s="102" t="str">
        <f>IF(AND(SSQ_Intermediate!V85="",SSQ_Intermediate!Y85="",SSQ_Intermediate!AA85="",SSQ_Intermediate!AB85="",SSQ_Intermediate!AC85="",SSQ_Intermediate!AD85="",SSQ_Intermediate!AE85=""),"",SUM(SSQ_Intermediate!V85,SSQ_Intermediate!Y85,SSQ_Intermediate!AA85,SSQ_Intermediate!AB85,SSQ_Intermediate!AC85,SSQ_Intermediate!AD85,SSQ_Intermediate!AE85))</f>
        <v/>
      </c>
      <c r="L85" s="102">
        <f>J85*'SSQ Metadata'!$B$14</f>
        <v>0</v>
      </c>
      <c r="M85" s="19" t="str">
        <f>IF(K85="","",K85*'SSQ Metadata'!$B$14)</f>
        <v/>
      </c>
      <c r="N85" s="16">
        <f>(B85+F85+J85)*'SSQ Metadata'!$B$15</f>
        <v>0</v>
      </c>
      <c r="O85" s="17" t="str">
        <f>IF(AND(C85="",G85="",K85=""),"",(C85+G85+K85)*'SSQ Metadata'!$B$15)</f>
        <v/>
      </c>
      <c r="P85" s="15" t="str">
        <f t="shared" si="4"/>
        <v/>
      </c>
      <c r="Q85" s="103" t="str">
        <f t="shared" si="5"/>
        <v/>
      </c>
      <c r="R85" s="103" t="str">
        <f t="shared" si="6"/>
        <v/>
      </c>
      <c r="S85" s="104" t="str">
        <f t="shared" si="7"/>
        <v/>
      </c>
    </row>
    <row r="86" spans="1:19" x14ac:dyDescent="0.2">
      <c r="A86" s="70">
        <v>83</v>
      </c>
      <c r="B86" s="99">
        <f>SSQ_Intermediate!B86+SSQ_Intermediate!G86+SSQ_Intermediate!H86+SSQ_Intermediate!I86+SSQ_Intermediate!J86+SSQ_Intermediate!P86+SSQ_Intermediate!Q86</f>
        <v>0</v>
      </c>
      <c r="C86" s="100" t="str">
        <f>IF(AND(SSQ_Intermediate!R86="",SSQ_Intermediate!W86="",SSQ_Intermediate!X86="",SSQ_Intermediate!Y86="",SSQ_Intermediate!Z86="",SSQ_Intermediate!AF86="",SSQ_Intermediate!AG86=""),"",SUM(SSQ_Intermediate!R86,SSQ_Intermediate!W86,SSQ_Intermediate!X86,SSQ_Intermediate!Y86,SSQ_Intermediate!Z86,SSQ_Intermediate!AF86,SSQ_Intermediate!AG86))</f>
        <v/>
      </c>
      <c r="D86" s="100">
        <f>B86*'SSQ Metadata'!$B$12</f>
        <v>0</v>
      </c>
      <c r="E86" s="22" t="str">
        <f>IF(C86="","",C86*'SSQ Metadata'!$B$12)</f>
        <v/>
      </c>
      <c r="F86" s="20">
        <f>SSQ_Intermediate!B86+SSQ_Intermediate!C86+SSQ_Intermediate!D86+SSQ_Intermediate!E86+SSQ_Intermediate!F86+SSQ_Intermediate!J86+SSQ_Intermediate!L86</f>
        <v>0</v>
      </c>
      <c r="G86" s="101" t="str">
        <f>IF(AND(SSQ_Intermediate!R86="",SSQ_Intermediate!S86="",SSQ_Intermediate!T86="",SSQ_Intermediate!U86="",SSQ_Intermediate!V86="",SSQ_Intermediate!Z86="",SSQ_Intermediate!AB86=""),"",SUM(SSQ_Intermediate!R86,SSQ_Intermediate!S86,SSQ_Intermediate!T86,SSQ_Intermediate!U86,SSQ_Intermediate!V86,SSQ_Intermediate!Z86,SSQ_Intermediate!AB86))</f>
        <v/>
      </c>
      <c r="H86" s="101">
        <f>F86*'SSQ Metadata'!$B$13</f>
        <v>0</v>
      </c>
      <c r="I86" s="21" t="str">
        <f>IF(G86="","",G86*'SSQ Metadata'!$B$13)</f>
        <v/>
      </c>
      <c r="J86" s="18">
        <f>SSQ_Intermediate!F86+SSQ_Intermediate!I86+SSQ_Intermediate!K86+SSQ_Intermediate!L86+SSQ_Intermediate!M86+SSQ_Intermediate!N86+SSQ_Intermediate!O86</f>
        <v>0</v>
      </c>
      <c r="K86" s="102" t="str">
        <f>IF(AND(SSQ_Intermediate!V86="",SSQ_Intermediate!Y86="",SSQ_Intermediate!AA86="",SSQ_Intermediate!AB86="",SSQ_Intermediate!AC86="",SSQ_Intermediate!AD86="",SSQ_Intermediate!AE86=""),"",SUM(SSQ_Intermediate!V86,SSQ_Intermediate!Y86,SSQ_Intermediate!AA86,SSQ_Intermediate!AB86,SSQ_Intermediate!AC86,SSQ_Intermediate!AD86,SSQ_Intermediate!AE86))</f>
        <v/>
      </c>
      <c r="L86" s="102">
        <f>J86*'SSQ Metadata'!$B$14</f>
        <v>0</v>
      </c>
      <c r="M86" s="19" t="str">
        <f>IF(K86="","",K86*'SSQ Metadata'!$B$14)</f>
        <v/>
      </c>
      <c r="N86" s="16">
        <f>(B86+F86+J86)*'SSQ Metadata'!$B$15</f>
        <v>0</v>
      </c>
      <c r="O86" s="17" t="str">
        <f>IF(AND(C86="",G86="",K86=""),"",(C86+G86+K86)*'SSQ Metadata'!$B$15)</f>
        <v/>
      </c>
      <c r="P86" s="15" t="str">
        <f t="shared" si="4"/>
        <v/>
      </c>
      <c r="Q86" s="103" t="str">
        <f t="shared" si="5"/>
        <v/>
      </c>
      <c r="R86" s="103" t="str">
        <f t="shared" si="6"/>
        <v/>
      </c>
      <c r="S86" s="104" t="str">
        <f t="shared" si="7"/>
        <v/>
      </c>
    </row>
    <row r="87" spans="1:19" x14ac:dyDescent="0.2">
      <c r="A87" s="70">
        <v>84</v>
      </c>
      <c r="B87" s="99">
        <f>SSQ_Intermediate!B87+SSQ_Intermediate!G87+SSQ_Intermediate!H87+SSQ_Intermediate!I87+SSQ_Intermediate!J87+SSQ_Intermediate!P87+SSQ_Intermediate!Q87</f>
        <v>0</v>
      </c>
      <c r="C87" s="100" t="str">
        <f>IF(AND(SSQ_Intermediate!R87="",SSQ_Intermediate!W87="",SSQ_Intermediate!X87="",SSQ_Intermediate!Y87="",SSQ_Intermediate!Z87="",SSQ_Intermediate!AF87="",SSQ_Intermediate!AG87=""),"",SUM(SSQ_Intermediate!R87,SSQ_Intermediate!W87,SSQ_Intermediate!X87,SSQ_Intermediate!Y87,SSQ_Intermediate!Z87,SSQ_Intermediate!AF87,SSQ_Intermediate!AG87))</f>
        <v/>
      </c>
      <c r="D87" s="100">
        <f>B87*'SSQ Metadata'!$B$12</f>
        <v>0</v>
      </c>
      <c r="E87" s="22" t="str">
        <f>IF(C87="","",C87*'SSQ Metadata'!$B$12)</f>
        <v/>
      </c>
      <c r="F87" s="20">
        <f>SSQ_Intermediate!B87+SSQ_Intermediate!C87+SSQ_Intermediate!D87+SSQ_Intermediate!E87+SSQ_Intermediate!F87+SSQ_Intermediate!J87+SSQ_Intermediate!L87</f>
        <v>0</v>
      </c>
      <c r="G87" s="101" t="str">
        <f>IF(AND(SSQ_Intermediate!R87="",SSQ_Intermediate!S87="",SSQ_Intermediate!T87="",SSQ_Intermediate!U87="",SSQ_Intermediate!V87="",SSQ_Intermediate!Z87="",SSQ_Intermediate!AB87=""),"",SUM(SSQ_Intermediate!R87,SSQ_Intermediate!S87,SSQ_Intermediate!T87,SSQ_Intermediate!U87,SSQ_Intermediate!V87,SSQ_Intermediate!Z87,SSQ_Intermediate!AB87))</f>
        <v/>
      </c>
      <c r="H87" s="101">
        <f>F87*'SSQ Metadata'!$B$13</f>
        <v>0</v>
      </c>
      <c r="I87" s="21" t="str">
        <f>IF(G87="","",G87*'SSQ Metadata'!$B$13)</f>
        <v/>
      </c>
      <c r="J87" s="18">
        <f>SSQ_Intermediate!F87+SSQ_Intermediate!I87+SSQ_Intermediate!K87+SSQ_Intermediate!L87+SSQ_Intermediate!M87+SSQ_Intermediate!N87+SSQ_Intermediate!O87</f>
        <v>0</v>
      </c>
      <c r="K87" s="102" t="str">
        <f>IF(AND(SSQ_Intermediate!V87="",SSQ_Intermediate!Y87="",SSQ_Intermediate!AA87="",SSQ_Intermediate!AB87="",SSQ_Intermediate!AC87="",SSQ_Intermediate!AD87="",SSQ_Intermediate!AE87=""),"",SUM(SSQ_Intermediate!V87,SSQ_Intermediate!Y87,SSQ_Intermediate!AA87,SSQ_Intermediate!AB87,SSQ_Intermediate!AC87,SSQ_Intermediate!AD87,SSQ_Intermediate!AE87))</f>
        <v/>
      </c>
      <c r="L87" s="102">
        <f>J87*'SSQ Metadata'!$B$14</f>
        <v>0</v>
      </c>
      <c r="M87" s="19" t="str">
        <f>IF(K87="","",K87*'SSQ Metadata'!$B$14)</f>
        <v/>
      </c>
      <c r="N87" s="16">
        <f>(B87+F87+J87)*'SSQ Metadata'!$B$15</f>
        <v>0</v>
      </c>
      <c r="O87" s="17" t="str">
        <f>IF(AND(C87="",G87="",K87=""),"",(C87+G87+K87)*'SSQ Metadata'!$B$15)</f>
        <v/>
      </c>
      <c r="P87" s="15" t="str">
        <f t="shared" si="4"/>
        <v/>
      </c>
      <c r="Q87" s="103" t="str">
        <f t="shared" si="5"/>
        <v/>
      </c>
      <c r="R87" s="103" t="str">
        <f t="shared" si="6"/>
        <v/>
      </c>
      <c r="S87" s="104" t="str">
        <f t="shared" si="7"/>
        <v/>
      </c>
    </row>
    <row r="88" spans="1:19" x14ac:dyDescent="0.2">
      <c r="A88" s="70">
        <v>85</v>
      </c>
      <c r="B88" s="99">
        <f>SSQ_Intermediate!B88+SSQ_Intermediate!G88+SSQ_Intermediate!H88+SSQ_Intermediate!I88+SSQ_Intermediate!J88+SSQ_Intermediate!P88+SSQ_Intermediate!Q88</f>
        <v>0</v>
      </c>
      <c r="C88" s="100" t="str">
        <f>IF(AND(SSQ_Intermediate!R88="",SSQ_Intermediate!W88="",SSQ_Intermediate!X88="",SSQ_Intermediate!Y88="",SSQ_Intermediate!Z88="",SSQ_Intermediate!AF88="",SSQ_Intermediate!AG88=""),"",SUM(SSQ_Intermediate!R88,SSQ_Intermediate!W88,SSQ_Intermediate!X88,SSQ_Intermediate!Y88,SSQ_Intermediate!Z88,SSQ_Intermediate!AF88,SSQ_Intermediate!AG88))</f>
        <v/>
      </c>
      <c r="D88" s="100">
        <f>B88*'SSQ Metadata'!$B$12</f>
        <v>0</v>
      </c>
      <c r="E88" s="22" t="str">
        <f>IF(C88="","",C88*'SSQ Metadata'!$B$12)</f>
        <v/>
      </c>
      <c r="F88" s="20">
        <f>SSQ_Intermediate!B88+SSQ_Intermediate!C88+SSQ_Intermediate!D88+SSQ_Intermediate!E88+SSQ_Intermediate!F88+SSQ_Intermediate!J88+SSQ_Intermediate!L88</f>
        <v>0</v>
      </c>
      <c r="G88" s="101" t="str">
        <f>IF(AND(SSQ_Intermediate!R88="",SSQ_Intermediate!S88="",SSQ_Intermediate!T88="",SSQ_Intermediate!U88="",SSQ_Intermediate!V88="",SSQ_Intermediate!Z88="",SSQ_Intermediate!AB88=""),"",SUM(SSQ_Intermediate!R88,SSQ_Intermediate!S88,SSQ_Intermediate!T88,SSQ_Intermediate!U88,SSQ_Intermediate!V88,SSQ_Intermediate!Z88,SSQ_Intermediate!AB88))</f>
        <v/>
      </c>
      <c r="H88" s="101">
        <f>F88*'SSQ Metadata'!$B$13</f>
        <v>0</v>
      </c>
      <c r="I88" s="21" t="str">
        <f>IF(G88="","",G88*'SSQ Metadata'!$B$13)</f>
        <v/>
      </c>
      <c r="J88" s="18">
        <f>SSQ_Intermediate!F88+SSQ_Intermediate!I88+SSQ_Intermediate!K88+SSQ_Intermediate!L88+SSQ_Intermediate!M88+SSQ_Intermediate!N88+SSQ_Intermediate!O88</f>
        <v>0</v>
      </c>
      <c r="K88" s="102" t="str">
        <f>IF(AND(SSQ_Intermediate!V88="",SSQ_Intermediate!Y88="",SSQ_Intermediate!AA88="",SSQ_Intermediate!AB88="",SSQ_Intermediate!AC88="",SSQ_Intermediate!AD88="",SSQ_Intermediate!AE88=""),"",SUM(SSQ_Intermediate!V88,SSQ_Intermediate!Y88,SSQ_Intermediate!AA88,SSQ_Intermediate!AB88,SSQ_Intermediate!AC88,SSQ_Intermediate!AD88,SSQ_Intermediate!AE88))</f>
        <v/>
      </c>
      <c r="L88" s="102">
        <f>J88*'SSQ Metadata'!$B$14</f>
        <v>0</v>
      </c>
      <c r="M88" s="19" t="str">
        <f>IF(K88="","",K88*'SSQ Metadata'!$B$14)</f>
        <v/>
      </c>
      <c r="N88" s="16">
        <f>(B88+F88+J88)*'SSQ Metadata'!$B$15</f>
        <v>0</v>
      </c>
      <c r="O88" s="17" t="str">
        <f>IF(AND(C88="",G88="",K88=""),"",(C88+G88+K88)*'SSQ Metadata'!$B$15)</f>
        <v/>
      </c>
      <c r="P88" s="15" t="str">
        <f t="shared" si="4"/>
        <v/>
      </c>
      <c r="Q88" s="103" t="str">
        <f t="shared" si="5"/>
        <v/>
      </c>
      <c r="R88" s="103" t="str">
        <f t="shared" si="6"/>
        <v/>
      </c>
      <c r="S88" s="104" t="str">
        <f t="shared" si="7"/>
        <v/>
      </c>
    </row>
    <row r="89" spans="1:19" x14ac:dyDescent="0.2">
      <c r="A89" s="70">
        <v>86</v>
      </c>
      <c r="B89" s="99">
        <f>SSQ_Intermediate!B89+SSQ_Intermediate!G89+SSQ_Intermediate!H89+SSQ_Intermediate!I89+SSQ_Intermediate!J89+SSQ_Intermediate!P89+SSQ_Intermediate!Q89</f>
        <v>0</v>
      </c>
      <c r="C89" s="100" t="str">
        <f>IF(AND(SSQ_Intermediate!R89="",SSQ_Intermediate!W89="",SSQ_Intermediate!X89="",SSQ_Intermediate!Y89="",SSQ_Intermediate!Z89="",SSQ_Intermediate!AF89="",SSQ_Intermediate!AG89=""),"",SUM(SSQ_Intermediate!R89,SSQ_Intermediate!W89,SSQ_Intermediate!X89,SSQ_Intermediate!Y89,SSQ_Intermediate!Z89,SSQ_Intermediate!AF89,SSQ_Intermediate!AG89))</f>
        <v/>
      </c>
      <c r="D89" s="100">
        <f>B89*'SSQ Metadata'!$B$12</f>
        <v>0</v>
      </c>
      <c r="E89" s="22" t="str">
        <f>IF(C89="","",C89*'SSQ Metadata'!$B$12)</f>
        <v/>
      </c>
      <c r="F89" s="20">
        <f>SSQ_Intermediate!B89+SSQ_Intermediate!C89+SSQ_Intermediate!D89+SSQ_Intermediate!E89+SSQ_Intermediate!F89+SSQ_Intermediate!J89+SSQ_Intermediate!L89</f>
        <v>0</v>
      </c>
      <c r="G89" s="101" t="str">
        <f>IF(AND(SSQ_Intermediate!R89="",SSQ_Intermediate!S89="",SSQ_Intermediate!T89="",SSQ_Intermediate!U89="",SSQ_Intermediate!V89="",SSQ_Intermediate!Z89="",SSQ_Intermediate!AB89=""),"",SUM(SSQ_Intermediate!R89,SSQ_Intermediate!S89,SSQ_Intermediate!T89,SSQ_Intermediate!U89,SSQ_Intermediate!V89,SSQ_Intermediate!Z89,SSQ_Intermediate!AB89))</f>
        <v/>
      </c>
      <c r="H89" s="101">
        <f>F89*'SSQ Metadata'!$B$13</f>
        <v>0</v>
      </c>
      <c r="I89" s="21" t="str">
        <f>IF(G89="","",G89*'SSQ Metadata'!$B$13)</f>
        <v/>
      </c>
      <c r="J89" s="18">
        <f>SSQ_Intermediate!F89+SSQ_Intermediate!I89+SSQ_Intermediate!K89+SSQ_Intermediate!L89+SSQ_Intermediate!M89+SSQ_Intermediate!N89+SSQ_Intermediate!O89</f>
        <v>0</v>
      </c>
      <c r="K89" s="102" t="str">
        <f>IF(AND(SSQ_Intermediate!V89="",SSQ_Intermediate!Y89="",SSQ_Intermediate!AA89="",SSQ_Intermediate!AB89="",SSQ_Intermediate!AC89="",SSQ_Intermediate!AD89="",SSQ_Intermediate!AE89=""),"",SUM(SSQ_Intermediate!V89,SSQ_Intermediate!Y89,SSQ_Intermediate!AA89,SSQ_Intermediate!AB89,SSQ_Intermediate!AC89,SSQ_Intermediate!AD89,SSQ_Intermediate!AE89))</f>
        <v/>
      </c>
      <c r="L89" s="102">
        <f>J89*'SSQ Metadata'!$B$14</f>
        <v>0</v>
      </c>
      <c r="M89" s="19" t="str">
        <f>IF(K89="","",K89*'SSQ Metadata'!$B$14)</f>
        <v/>
      </c>
      <c r="N89" s="16">
        <f>(B89+F89+J89)*'SSQ Metadata'!$B$15</f>
        <v>0</v>
      </c>
      <c r="O89" s="17" t="str">
        <f>IF(AND(C89="",G89="",K89=""),"",(C89+G89+K89)*'SSQ Metadata'!$B$15)</f>
        <v/>
      </c>
      <c r="P89" s="15" t="str">
        <f t="shared" si="4"/>
        <v/>
      </c>
      <c r="Q89" s="103" t="str">
        <f t="shared" si="5"/>
        <v/>
      </c>
      <c r="R89" s="103" t="str">
        <f t="shared" si="6"/>
        <v/>
      </c>
      <c r="S89" s="104" t="str">
        <f t="shared" si="7"/>
        <v/>
      </c>
    </row>
    <row r="90" spans="1:19" x14ac:dyDescent="0.2">
      <c r="A90" s="70">
        <v>87</v>
      </c>
      <c r="B90" s="99">
        <f>SSQ_Intermediate!B90+SSQ_Intermediate!G90+SSQ_Intermediate!H90+SSQ_Intermediate!I90+SSQ_Intermediate!J90+SSQ_Intermediate!P90+SSQ_Intermediate!Q90</f>
        <v>0</v>
      </c>
      <c r="C90" s="100" t="str">
        <f>IF(AND(SSQ_Intermediate!R90="",SSQ_Intermediate!W90="",SSQ_Intermediate!X90="",SSQ_Intermediate!Y90="",SSQ_Intermediate!Z90="",SSQ_Intermediate!AF90="",SSQ_Intermediate!AG90=""),"",SUM(SSQ_Intermediate!R90,SSQ_Intermediate!W90,SSQ_Intermediate!X90,SSQ_Intermediate!Y90,SSQ_Intermediate!Z90,SSQ_Intermediate!AF90,SSQ_Intermediate!AG90))</f>
        <v/>
      </c>
      <c r="D90" s="100">
        <f>B90*'SSQ Metadata'!$B$12</f>
        <v>0</v>
      </c>
      <c r="E90" s="22" t="str">
        <f>IF(C90="","",C90*'SSQ Metadata'!$B$12)</f>
        <v/>
      </c>
      <c r="F90" s="20">
        <f>SSQ_Intermediate!B90+SSQ_Intermediate!C90+SSQ_Intermediate!D90+SSQ_Intermediate!E90+SSQ_Intermediate!F90+SSQ_Intermediate!J90+SSQ_Intermediate!L90</f>
        <v>0</v>
      </c>
      <c r="G90" s="101" t="str">
        <f>IF(AND(SSQ_Intermediate!R90="",SSQ_Intermediate!S90="",SSQ_Intermediate!T90="",SSQ_Intermediate!U90="",SSQ_Intermediate!V90="",SSQ_Intermediate!Z90="",SSQ_Intermediate!AB90=""),"",SUM(SSQ_Intermediate!R90,SSQ_Intermediate!S90,SSQ_Intermediate!T90,SSQ_Intermediate!U90,SSQ_Intermediate!V90,SSQ_Intermediate!Z90,SSQ_Intermediate!AB90))</f>
        <v/>
      </c>
      <c r="H90" s="101">
        <f>F90*'SSQ Metadata'!$B$13</f>
        <v>0</v>
      </c>
      <c r="I90" s="21" t="str">
        <f>IF(G90="","",G90*'SSQ Metadata'!$B$13)</f>
        <v/>
      </c>
      <c r="J90" s="18">
        <f>SSQ_Intermediate!F90+SSQ_Intermediate!I90+SSQ_Intermediate!K90+SSQ_Intermediate!L90+SSQ_Intermediate!M90+SSQ_Intermediate!N90+SSQ_Intermediate!O90</f>
        <v>0</v>
      </c>
      <c r="K90" s="102" t="str">
        <f>IF(AND(SSQ_Intermediate!V90="",SSQ_Intermediate!Y90="",SSQ_Intermediate!AA90="",SSQ_Intermediate!AB90="",SSQ_Intermediate!AC90="",SSQ_Intermediate!AD90="",SSQ_Intermediate!AE90=""),"",SUM(SSQ_Intermediate!V90,SSQ_Intermediate!Y90,SSQ_Intermediate!AA90,SSQ_Intermediate!AB90,SSQ_Intermediate!AC90,SSQ_Intermediate!AD90,SSQ_Intermediate!AE90))</f>
        <v/>
      </c>
      <c r="L90" s="102">
        <f>J90*'SSQ Metadata'!$B$14</f>
        <v>0</v>
      </c>
      <c r="M90" s="19" t="str">
        <f>IF(K90="","",K90*'SSQ Metadata'!$B$14)</f>
        <v/>
      </c>
      <c r="N90" s="16">
        <f>(B90+F90+J90)*'SSQ Metadata'!$B$15</f>
        <v>0</v>
      </c>
      <c r="O90" s="17" t="str">
        <f>IF(AND(C90="",G90="",K90=""),"",(C90+G90+K90)*'SSQ Metadata'!$B$15)</f>
        <v/>
      </c>
      <c r="P90" s="15" t="str">
        <f t="shared" si="4"/>
        <v/>
      </c>
      <c r="Q90" s="103" t="str">
        <f t="shared" si="5"/>
        <v/>
      </c>
      <c r="R90" s="103" t="str">
        <f t="shared" si="6"/>
        <v/>
      </c>
      <c r="S90" s="104" t="str">
        <f t="shared" si="7"/>
        <v/>
      </c>
    </row>
    <row r="91" spans="1:19" x14ac:dyDescent="0.2">
      <c r="A91" s="70">
        <v>88</v>
      </c>
      <c r="B91" s="99">
        <f>SSQ_Intermediate!B91+SSQ_Intermediate!G91+SSQ_Intermediate!H91+SSQ_Intermediate!I91+SSQ_Intermediate!J91+SSQ_Intermediate!P91+SSQ_Intermediate!Q91</f>
        <v>0</v>
      </c>
      <c r="C91" s="100" t="str">
        <f>IF(AND(SSQ_Intermediate!R91="",SSQ_Intermediate!W91="",SSQ_Intermediate!X91="",SSQ_Intermediate!Y91="",SSQ_Intermediate!Z91="",SSQ_Intermediate!AF91="",SSQ_Intermediate!AG91=""),"",SUM(SSQ_Intermediate!R91,SSQ_Intermediate!W91,SSQ_Intermediate!X91,SSQ_Intermediate!Y91,SSQ_Intermediate!Z91,SSQ_Intermediate!AF91,SSQ_Intermediate!AG91))</f>
        <v/>
      </c>
      <c r="D91" s="100">
        <f>B91*'SSQ Metadata'!$B$12</f>
        <v>0</v>
      </c>
      <c r="E91" s="22" t="str">
        <f>IF(C91="","",C91*'SSQ Metadata'!$B$12)</f>
        <v/>
      </c>
      <c r="F91" s="20">
        <f>SSQ_Intermediate!B91+SSQ_Intermediate!C91+SSQ_Intermediate!D91+SSQ_Intermediate!E91+SSQ_Intermediate!F91+SSQ_Intermediate!J91+SSQ_Intermediate!L91</f>
        <v>0</v>
      </c>
      <c r="G91" s="101" t="str">
        <f>IF(AND(SSQ_Intermediate!R91="",SSQ_Intermediate!S91="",SSQ_Intermediate!T91="",SSQ_Intermediate!U91="",SSQ_Intermediate!V91="",SSQ_Intermediate!Z91="",SSQ_Intermediate!AB91=""),"",SUM(SSQ_Intermediate!R91,SSQ_Intermediate!S91,SSQ_Intermediate!T91,SSQ_Intermediate!U91,SSQ_Intermediate!V91,SSQ_Intermediate!Z91,SSQ_Intermediate!AB91))</f>
        <v/>
      </c>
      <c r="H91" s="101">
        <f>F91*'SSQ Metadata'!$B$13</f>
        <v>0</v>
      </c>
      <c r="I91" s="21" t="str">
        <f>IF(G91="","",G91*'SSQ Metadata'!$B$13)</f>
        <v/>
      </c>
      <c r="J91" s="18">
        <f>SSQ_Intermediate!F91+SSQ_Intermediate!I91+SSQ_Intermediate!K91+SSQ_Intermediate!L91+SSQ_Intermediate!M91+SSQ_Intermediate!N91+SSQ_Intermediate!O91</f>
        <v>0</v>
      </c>
      <c r="K91" s="102" t="str">
        <f>IF(AND(SSQ_Intermediate!V91="",SSQ_Intermediate!Y91="",SSQ_Intermediate!AA91="",SSQ_Intermediate!AB91="",SSQ_Intermediate!AC91="",SSQ_Intermediate!AD91="",SSQ_Intermediate!AE91=""),"",SUM(SSQ_Intermediate!V91,SSQ_Intermediate!Y91,SSQ_Intermediate!AA91,SSQ_Intermediate!AB91,SSQ_Intermediate!AC91,SSQ_Intermediate!AD91,SSQ_Intermediate!AE91))</f>
        <v/>
      </c>
      <c r="L91" s="102">
        <f>J91*'SSQ Metadata'!$B$14</f>
        <v>0</v>
      </c>
      <c r="M91" s="19" t="str">
        <f>IF(K91="","",K91*'SSQ Metadata'!$B$14)</f>
        <v/>
      </c>
      <c r="N91" s="16">
        <f>(B91+F91+J91)*'SSQ Metadata'!$B$15</f>
        <v>0</v>
      </c>
      <c r="O91" s="17" t="str">
        <f>IF(AND(C91="",G91="",K91=""),"",(C91+G91+K91)*'SSQ Metadata'!$B$15)</f>
        <v/>
      </c>
      <c r="P91" s="15" t="str">
        <f t="shared" si="4"/>
        <v/>
      </c>
      <c r="Q91" s="103" t="str">
        <f t="shared" si="5"/>
        <v/>
      </c>
      <c r="R91" s="103" t="str">
        <f t="shared" si="6"/>
        <v/>
      </c>
      <c r="S91" s="104" t="str">
        <f t="shared" si="7"/>
        <v/>
      </c>
    </row>
    <row r="92" spans="1:19" x14ac:dyDescent="0.2">
      <c r="A92" s="70">
        <v>89</v>
      </c>
      <c r="B92" s="99">
        <f>SSQ_Intermediate!B92+SSQ_Intermediate!G92+SSQ_Intermediate!H92+SSQ_Intermediate!I92+SSQ_Intermediate!J92+SSQ_Intermediate!P92+SSQ_Intermediate!Q92</f>
        <v>0</v>
      </c>
      <c r="C92" s="100" t="str">
        <f>IF(AND(SSQ_Intermediate!R92="",SSQ_Intermediate!W92="",SSQ_Intermediate!X92="",SSQ_Intermediate!Y92="",SSQ_Intermediate!Z92="",SSQ_Intermediate!AF92="",SSQ_Intermediate!AG92=""),"",SUM(SSQ_Intermediate!R92,SSQ_Intermediate!W92,SSQ_Intermediate!X92,SSQ_Intermediate!Y92,SSQ_Intermediate!Z92,SSQ_Intermediate!AF92,SSQ_Intermediate!AG92))</f>
        <v/>
      </c>
      <c r="D92" s="100">
        <f>B92*'SSQ Metadata'!$B$12</f>
        <v>0</v>
      </c>
      <c r="E92" s="22" t="str">
        <f>IF(C92="","",C92*'SSQ Metadata'!$B$12)</f>
        <v/>
      </c>
      <c r="F92" s="20">
        <f>SSQ_Intermediate!B92+SSQ_Intermediate!C92+SSQ_Intermediate!D92+SSQ_Intermediate!E92+SSQ_Intermediate!F92+SSQ_Intermediate!J92+SSQ_Intermediate!L92</f>
        <v>0</v>
      </c>
      <c r="G92" s="101" t="str">
        <f>IF(AND(SSQ_Intermediate!R92="",SSQ_Intermediate!S92="",SSQ_Intermediate!T92="",SSQ_Intermediate!U92="",SSQ_Intermediate!V92="",SSQ_Intermediate!Z92="",SSQ_Intermediate!AB92=""),"",SUM(SSQ_Intermediate!R92,SSQ_Intermediate!S92,SSQ_Intermediate!T92,SSQ_Intermediate!U92,SSQ_Intermediate!V92,SSQ_Intermediate!Z92,SSQ_Intermediate!AB92))</f>
        <v/>
      </c>
      <c r="H92" s="101">
        <f>F92*'SSQ Metadata'!$B$13</f>
        <v>0</v>
      </c>
      <c r="I92" s="21" t="str">
        <f>IF(G92="","",G92*'SSQ Metadata'!$B$13)</f>
        <v/>
      </c>
      <c r="J92" s="18">
        <f>SSQ_Intermediate!F92+SSQ_Intermediate!I92+SSQ_Intermediate!K92+SSQ_Intermediate!L92+SSQ_Intermediate!M92+SSQ_Intermediate!N92+SSQ_Intermediate!O92</f>
        <v>0</v>
      </c>
      <c r="K92" s="102" t="str">
        <f>IF(AND(SSQ_Intermediate!V92="",SSQ_Intermediate!Y92="",SSQ_Intermediate!AA92="",SSQ_Intermediate!AB92="",SSQ_Intermediate!AC92="",SSQ_Intermediate!AD92="",SSQ_Intermediate!AE92=""),"",SUM(SSQ_Intermediate!V92,SSQ_Intermediate!Y92,SSQ_Intermediate!AA92,SSQ_Intermediate!AB92,SSQ_Intermediate!AC92,SSQ_Intermediate!AD92,SSQ_Intermediate!AE92))</f>
        <v/>
      </c>
      <c r="L92" s="102">
        <f>J92*'SSQ Metadata'!$B$14</f>
        <v>0</v>
      </c>
      <c r="M92" s="19" t="str">
        <f>IF(K92="","",K92*'SSQ Metadata'!$B$14)</f>
        <v/>
      </c>
      <c r="N92" s="16">
        <f>(B92+F92+J92)*'SSQ Metadata'!$B$15</f>
        <v>0</v>
      </c>
      <c r="O92" s="17" t="str">
        <f>IF(AND(C92="",G92="",K92=""),"",(C92+G92+K92)*'SSQ Metadata'!$B$15)</f>
        <v/>
      </c>
      <c r="P92" s="15" t="str">
        <f t="shared" si="4"/>
        <v/>
      </c>
      <c r="Q92" s="103" t="str">
        <f t="shared" si="5"/>
        <v/>
      </c>
      <c r="R92" s="103" t="str">
        <f t="shared" si="6"/>
        <v/>
      </c>
      <c r="S92" s="104" t="str">
        <f t="shared" si="7"/>
        <v/>
      </c>
    </row>
    <row r="93" spans="1:19" x14ac:dyDescent="0.2">
      <c r="A93" s="70">
        <v>90</v>
      </c>
      <c r="B93" s="99">
        <f>SSQ_Intermediate!B93+SSQ_Intermediate!G93+SSQ_Intermediate!H93+SSQ_Intermediate!I93+SSQ_Intermediate!J93+SSQ_Intermediate!P93+SSQ_Intermediate!Q93</f>
        <v>0</v>
      </c>
      <c r="C93" s="100" t="str">
        <f>IF(AND(SSQ_Intermediate!R93="",SSQ_Intermediate!W93="",SSQ_Intermediate!X93="",SSQ_Intermediate!Y93="",SSQ_Intermediate!Z93="",SSQ_Intermediate!AF93="",SSQ_Intermediate!AG93=""),"",SUM(SSQ_Intermediate!R93,SSQ_Intermediate!W93,SSQ_Intermediate!X93,SSQ_Intermediate!Y93,SSQ_Intermediate!Z93,SSQ_Intermediate!AF93,SSQ_Intermediate!AG93))</f>
        <v/>
      </c>
      <c r="D93" s="100">
        <f>B93*'SSQ Metadata'!$B$12</f>
        <v>0</v>
      </c>
      <c r="E93" s="22" t="str">
        <f>IF(C93="","",C93*'SSQ Metadata'!$B$12)</f>
        <v/>
      </c>
      <c r="F93" s="20">
        <f>SSQ_Intermediate!B93+SSQ_Intermediate!C93+SSQ_Intermediate!D93+SSQ_Intermediate!E93+SSQ_Intermediate!F93+SSQ_Intermediate!J93+SSQ_Intermediate!L93</f>
        <v>0</v>
      </c>
      <c r="G93" s="101" t="str">
        <f>IF(AND(SSQ_Intermediate!R93="",SSQ_Intermediate!S93="",SSQ_Intermediate!T93="",SSQ_Intermediate!U93="",SSQ_Intermediate!V93="",SSQ_Intermediate!Z93="",SSQ_Intermediate!AB93=""),"",SUM(SSQ_Intermediate!R93,SSQ_Intermediate!S93,SSQ_Intermediate!T93,SSQ_Intermediate!U93,SSQ_Intermediate!V93,SSQ_Intermediate!Z93,SSQ_Intermediate!AB93))</f>
        <v/>
      </c>
      <c r="H93" s="101">
        <f>F93*'SSQ Metadata'!$B$13</f>
        <v>0</v>
      </c>
      <c r="I93" s="21" t="str">
        <f>IF(G93="","",G93*'SSQ Metadata'!$B$13)</f>
        <v/>
      </c>
      <c r="J93" s="18">
        <f>SSQ_Intermediate!F93+SSQ_Intermediate!I93+SSQ_Intermediate!K93+SSQ_Intermediate!L93+SSQ_Intermediate!M93+SSQ_Intermediate!N93+SSQ_Intermediate!O93</f>
        <v>0</v>
      </c>
      <c r="K93" s="102" t="str">
        <f>IF(AND(SSQ_Intermediate!V93="",SSQ_Intermediate!Y93="",SSQ_Intermediate!AA93="",SSQ_Intermediate!AB93="",SSQ_Intermediate!AC93="",SSQ_Intermediate!AD93="",SSQ_Intermediate!AE93=""),"",SUM(SSQ_Intermediate!V93,SSQ_Intermediate!Y93,SSQ_Intermediate!AA93,SSQ_Intermediate!AB93,SSQ_Intermediate!AC93,SSQ_Intermediate!AD93,SSQ_Intermediate!AE93))</f>
        <v/>
      </c>
      <c r="L93" s="102">
        <f>J93*'SSQ Metadata'!$B$14</f>
        <v>0</v>
      </c>
      <c r="M93" s="19" t="str">
        <f>IF(K93="","",K93*'SSQ Metadata'!$B$14)</f>
        <v/>
      </c>
      <c r="N93" s="16">
        <f>(B93+F93+J93)*'SSQ Metadata'!$B$15</f>
        <v>0</v>
      </c>
      <c r="O93" s="17" t="str">
        <f>IF(AND(C93="",G93="",K93=""),"",(C93+G93+K93)*'SSQ Metadata'!$B$15)</f>
        <v/>
      </c>
      <c r="P93" s="15" t="str">
        <f t="shared" si="4"/>
        <v/>
      </c>
      <c r="Q93" s="103" t="str">
        <f t="shared" si="5"/>
        <v/>
      </c>
      <c r="R93" s="103" t="str">
        <f t="shared" si="6"/>
        <v/>
      </c>
      <c r="S93" s="104" t="str">
        <f t="shared" si="7"/>
        <v/>
      </c>
    </row>
    <row r="94" spans="1:19" x14ac:dyDescent="0.2">
      <c r="A94" s="70">
        <v>91</v>
      </c>
      <c r="B94" s="99">
        <f>SSQ_Intermediate!B94+SSQ_Intermediate!G94+SSQ_Intermediate!H94+SSQ_Intermediate!I94+SSQ_Intermediate!J94+SSQ_Intermediate!P94+SSQ_Intermediate!Q94</f>
        <v>0</v>
      </c>
      <c r="C94" s="100" t="str">
        <f>IF(AND(SSQ_Intermediate!R94="",SSQ_Intermediate!W94="",SSQ_Intermediate!X94="",SSQ_Intermediate!Y94="",SSQ_Intermediate!Z94="",SSQ_Intermediate!AF94="",SSQ_Intermediate!AG94=""),"",SUM(SSQ_Intermediate!R94,SSQ_Intermediate!W94,SSQ_Intermediate!X94,SSQ_Intermediate!Y94,SSQ_Intermediate!Z94,SSQ_Intermediate!AF94,SSQ_Intermediate!AG94))</f>
        <v/>
      </c>
      <c r="D94" s="100">
        <f>B94*'SSQ Metadata'!$B$12</f>
        <v>0</v>
      </c>
      <c r="E94" s="22" t="str">
        <f>IF(C94="","",C94*'SSQ Metadata'!$B$12)</f>
        <v/>
      </c>
      <c r="F94" s="20">
        <f>SSQ_Intermediate!B94+SSQ_Intermediate!C94+SSQ_Intermediate!D94+SSQ_Intermediate!E94+SSQ_Intermediate!F94+SSQ_Intermediate!J94+SSQ_Intermediate!L94</f>
        <v>0</v>
      </c>
      <c r="G94" s="101" t="str">
        <f>IF(AND(SSQ_Intermediate!R94="",SSQ_Intermediate!S94="",SSQ_Intermediate!T94="",SSQ_Intermediate!U94="",SSQ_Intermediate!V94="",SSQ_Intermediate!Z94="",SSQ_Intermediate!AB94=""),"",SUM(SSQ_Intermediate!R94,SSQ_Intermediate!S94,SSQ_Intermediate!T94,SSQ_Intermediate!U94,SSQ_Intermediate!V94,SSQ_Intermediate!Z94,SSQ_Intermediate!AB94))</f>
        <v/>
      </c>
      <c r="H94" s="101">
        <f>F94*'SSQ Metadata'!$B$13</f>
        <v>0</v>
      </c>
      <c r="I94" s="21" t="str">
        <f>IF(G94="","",G94*'SSQ Metadata'!$B$13)</f>
        <v/>
      </c>
      <c r="J94" s="18">
        <f>SSQ_Intermediate!F94+SSQ_Intermediate!I94+SSQ_Intermediate!K94+SSQ_Intermediate!L94+SSQ_Intermediate!M94+SSQ_Intermediate!N94+SSQ_Intermediate!O94</f>
        <v>0</v>
      </c>
      <c r="K94" s="102" t="str">
        <f>IF(AND(SSQ_Intermediate!V94="",SSQ_Intermediate!Y94="",SSQ_Intermediate!AA94="",SSQ_Intermediate!AB94="",SSQ_Intermediate!AC94="",SSQ_Intermediate!AD94="",SSQ_Intermediate!AE94=""),"",SUM(SSQ_Intermediate!V94,SSQ_Intermediate!Y94,SSQ_Intermediate!AA94,SSQ_Intermediate!AB94,SSQ_Intermediate!AC94,SSQ_Intermediate!AD94,SSQ_Intermediate!AE94))</f>
        <v/>
      </c>
      <c r="L94" s="102">
        <f>J94*'SSQ Metadata'!$B$14</f>
        <v>0</v>
      </c>
      <c r="M94" s="19" t="str">
        <f>IF(K94="","",K94*'SSQ Metadata'!$B$14)</f>
        <v/>
      </c>
      <c r="N94" s="16">
        <f>(B94+F94+J94)*'SSQ Metadata'!$B$15</f>
        <v>0</v>
      </c>
      <c r="O94" s="17" t="str">
        <f>IF(AND(C94="",G94="",K94=""),"",(C94+G94+K94)*'SSQ Metadata'!$B$15)</f>
        <v/>
      </c>
      <c r="P94" s="15" t="str">
        <f t="shared" si="4"/>
        <v/>
      </c>
      <c r="Q94" s="103" t="str">
        <f t="shared" si="5"/>
        <v/>
      </c>
      <c r="R94" s="103" t="str">
        <f t="shared" si="6"/>
        <v/>
      </c>
      <c r="S94" s="104" t="str">
        <f t="shared" si="7"/>
        <v/>
      </c>
    </row>
    <row r="95" spans="1:19" x14ac:dyDescent="0.2">
      <c r="A95" s="70">
        <v>92</v>
      </c>
      <c r="B95" s="99">
        <f>SSQ_Intermediate!B95+SSQ_Intermediate!G95+SSQ_Intermediate!H95+SSQ_Intermediate!I95+SSQ_Intermediate!J95+SSQ_Intermediate!P95+SSQ_Intermediate!Q95</f>
        <v>0</v>
      </c>
      <c r="C95" s="100" t="str">
        <f>IF(AND(SSQ_Intermediate!R95="",SSQ_Intermediate!W95="",SSQ_Intermediate!X95="",SSQ_Intermediate!Y95="",SSQ_Intermediate!Z95="",SSQ_Intermediate!AF95="",SSQ_Intermediate!AG95=""),"",SUM(SSQ_Intermediate!R95,SSQ_Intermediate!W95,SSQ_Intermediate!X95,SSQ_Intermediate!Y95,SSQ_Intermediate!Z95,SSQ_Intermediate!AF95,SSQ_Intermediate!AG95))</f>
        <v/>
      </c>
      <c r="D95" s="100">
        <f>B95*'SSQ Metadata'!$B$12</f>
        <v>0</v>
      </c>
      <c r="E95" s="22" t="str">
        <f>IF(C95="","",C95*'SSQ Metadata'!$B$12)</f>
        <v/>
      </c>
      <c r="F95" s="20">
        <f>SSQ_Intermediate!B95+SSQ_Intermediate!C95+SSQ_Intermediate!D95+SSQ_Intermediate!E95+SSQ_Intermediate!F95+SSQ_Intermediate!J95+SSQ_Intermediate!L95</f>
        <v>0</v>
      </c>
      <c r="G95" s="101" t="str">
        <f>IF(AND(SSQ_Intermediate!R95="",SSQ_Intermediate!S95="",SSQ_Intermediate!T95="",SSQ_Intermediate!U95="",SSQ_Intermediate!V95="",SSQ_Intermediate!Z95="",SSQ_Intermediate!AB95=""),"",SUM(SSQ_Intermediate!R95,SSQ_Intermediate!S95,SSQ_Intermediate!T95,SSQ_Intermediate!U95,SSQ_Intermediate!V95,SSQ_Intermediate!Z95,SSQ_Intermediate!AB95))</f>
        <v/>
      </c>
      <c r="H95" s="101">
        <f>F95*'SSQ Metadata'!$B$13</f>
        <v>0</v>
      </c>
      <c r="I95" s="21" t="str">
        <f>IF(G95="","",G95*'SSQ Metadata'!$B$13)</f>
        <v/>
      </c>
      <c r="J95" s="18">
        <f>SSQ_Intermediate!F95+SSQ_Intermediate!I95+SSQ_Intermediate!K95+SSQ_Intermediate!L95+SSQ_Intermediate!M95+SSQ_Intermediate!N95+SSQ_Intermediate!O95</f>
        <v>0</v>
      </c>
      <c r="K95" s="102" t="str">
        <f>IF(AND(SSQ_Intermediate!V95="",SSQ_Intermediate!Y95="",SSQ_Intermediate!AA95="",SSQ_Intermediate!AB95="",SSQ_Intermediate!AC95="",SSQ_Intermediate!AD95="",SSQ_Intermediate!AE95=""),"",SUM(SSQ_Intermediate!V95,SSQ_Intermediate!Y95,SSQ_Intermediate!AA95,SSQ_Intermediate!AB95,SSQ_Intermediate!AC95,SSQ_Intermediate!AD95,SSQ_Intermediate!AE95))</f>
        <v/>
      </c>
      <c r="L95" s="102">
        <f>J95*'SSQ Metadata'!$B$14</f>
        <v>0</v>
      </c>
      <c r="M95" s="19" t="str">
        <f>IF(K95="","",K95*'SSQ Metadata'!$B$14)</f>
        <v/>
      </c>
      <c r="N95" s="16">
        <f>(B95+F95+J95)*'SSQ Metadata'!$B$15</f>
        <v>0</v>
      </c>
      <c r="O95" s="17" t="str">
        <f>IF(AND(C95="",G95="",K95=""),"",(C95+G95+K95)*'SSQ Metadata'!$B$15)</f>
        <v/>
      </c>
      <c r="P95" s="15" t="str">
        <f t="shared" si="4"/>
        <v/>
      </c>
      <c r="Q95" s="103" t="str">
        <f t="shared" si="5"/>
        <v/>
      </c>
      <c r="R95" s="103" t="str">
        <f t="shared" si="6"/>
        <v/>
      </c>
      <c r="S95" s="104" t="str">
        <f t="shared" si="7"/>
        <v/>
      </c>
    </row>
    <row r="96" spans="1:19" x14ac:dyDescent="0.2">
      <c r="A96" s="70">
        <v>93</v>
      </c>
      <c r="B96" s="99">
        <f>SSQ_Intermediate!B96+SSQ_Intermediate!G96+SSQ_Intermediate!H96+SSQ_Intermediate!I96+SSQ_Intermediate!J96+SSQ_Intermediate!P96+SSQ_Intermediate!Q96</f>
        <v>0</v>
      </c>
      <c r="C96" s="100" t="str">
        <f>IF(AND(SSQ_Intermediate!R96="",SSQ_Intermediate!W96="",SSQ_Intermediate!X96="",SSQ_Intermediate!Y96="",SSQ_Intermediate!Z96="",SSQ_Intermediate!AF96="",SSQ_Intermediate!AG96=""),"",SUM(SSQ_Intermediate!R96,SSQ_Intermediate!W96,SSQ_Intermediate!X96,SSQ_Intermediate!Y96,SSQ_Intermediate!Z96,SSQ_Intermediate!AF96,SSQ_Intermediate!AG96))</f>
        <v/>
      </c>
      <c r="D96" s="100">
        <f>B96*'SSQ Metadata'!$B$12</f>
        <v>0</v>
      </c>
      <c r="E96" s="22" t="str">
        <f>IF(C96="","",C96*'SSQ Metadata'!$B$12)</f>
        <v/>
      </c>
      <c r="F96" s="20">
        <f>SSQ_Intermediate!B96+SSQ_Intermediate!C96+SSQ_Intermediate!D96+SSQ_Intermediate!E96+SSQ_Intermediate!F96+SSQ_Intermediate!J96+SSQ_Intermediate!L96</f>
        <v>0</v>
      </c>
      <c r="G96" s="101" t="str">
        <f>IF(AND(SSQ_Intermediate!R96="",SSQ_Intermediate!S96="",SSQ_Intermediate!T96="",SSQ_Intermediate!U96="",SSQ_Intermediate!V96="",SSQ_Intermediate!Z96="",SSQ_Intermediate!AB96=""),"",SUM(SSQ_Intermediate!R96,SSQ_Intermediate!S96,SSQ_Intermediate!T96,SSQ_Intermediate!U96,SSQ_Intermediate!V96,SSQ_Intermediate!Z96,SSQ_Intermediate!AB96))</f>
        <v/>
      </c>
      <c r="H96" s="101">
        <f>F96*'SSQ Metadata'!$B$13</f>
        <v>0</v>
      </c>
      <c r="I96" s="21" t="str">
        <f>IF(G96="","",G96*'SSQ Metadata'!$B$13)</f>
        <v/>
      </c>
      <c r="J96" s="18">
        <f>SSQ_Intermediate!F96+SSQ_Intermediate!I96+SSQ_Intermediate!K96+SSQ_Intermediate!L96+SSQ_Intermediate!M96+SSQ_Intermediate!N96+SSQ_Intermediate!O96</f>
        <v>0</v>
      </c>
      <c r="K96" s="102" t="str">
        <f>IF(AND(SSQ_Intermediate!V96="",SSQ_Intermediate!Y96="",SSQ_Intermediate!AA96="",SSQ_Intermediate!AB96="",SSQ_Intermediate!AC96="",SSQ_Intermediate!AD96="",SSQ_Intermediate!AE96=""),"",SUM(SSQ_Intermediate!V96,SSQ_Intermediate!Y96,SSQ_Intermediate!AA96,SSQ_Intermediate!AB96,SSQ_Intermediate!AC96,SSQ_Intermediate!AD96,SSQ_Intermediate!AE96))</f>
        <v/>
      </c>
      <c r="L96" s="102">
        <f>J96*'SSQ Metadata'!$B$14</f>
        <v>0</v>
      </c>
      <c r="M96" s="19" t="str">
        <f>IF(K96="","",K96*'SSQ Metadata'!$B$14)</f>
        <v/>
      </c>
      <c r="N96" s="16">
        <f>(B96+F96+J96)*'SSQ Metadata'!$B$15</f>
        <v>0</v>
      </c>
      <c r="O96" s="17" t="str">
        <f>IF(AND(C96="",G96="",K96=""),"",(C96+G96+K96)*'SSQ Metadata'!$B$15)</f>
        <v/>
      </c>
      <c r="P96" s="15" t="str">
        <f t="shared" si="4"/>
        <v/>
      </c>
      <c r="Q96" s="103" t="str">
        <f t="shared" si="5"/>
        <v/>
      </c>
      <c r="R96" s="103" t="str">
        <f t="shared" si="6"/>
        <v/>
      </c>
      <c r="S96" s="104" t="str">
        <f t="shared" si="7"/>
        <v/>
      </c>
    </row>
    <row r="97" spans="1:19" x14ac:dyDescent="0.2">
      <c r="A97" s="70">
        <v>94</v>
      </c>
      <c r="B97" s="99">
        <f>SSQ_Intermediate!B97+SSQ_Intermediate!G97+SSQ_Intermediate!H97+SSQ_Intermediate!I97+SSQ_Intermediate!J97+SSQ_Intermediate!P97+SSQ_Intermediate!Q97</f>
        <v>0</v>
      </c>
      <c r="C97" s="100" t="str">
        <f>IF(AND(SSQ_Intermediate!R97="",SSQ_Intermediate!W97="",SSQ_Intermediate!X97="",SSQ_Intermediate!Y97="",SSQ_Intermediate!Z97="",SSQ_Intermediate!AF97="",SSQ_Intermediate!AG97=""),"",SUM(SSQ_Intermediate!R97,SSQ_Intermediate!W97,SSQ_Intermediate!X97,SSQ_Intermediate!Y97,SSQ_Intermediate!Z97,SSQ_Intermediate!AF97,SSQ_Intermediate!AG97))</f>
        <v/>
      </c>
      <c r="D97" s="100">
        <f>B97*'SSQ Metadata'!$B$12</f>
        <v>0</v>
      </c>
      <c r="E97" s="22" t="str">
        <f>IF(C97="","",C97*'SSQ Metadata'!$B$12)</f>
        <v/>
      </c>
      <c r="F97" s="20">
        <f>SSQ_Intermediate!B97+SSQ_Intermediate!C97+SSQ_Intermediate!D97+SSQ_Intermediate!E97+SSQ_Intermediate!F97+SSQ_Intermediate!J97+SSQ_Intermediate!L97</f>
        <v>0</v>
      </c>
      <c r="G97" s="101" t="str">
        <f>IF(AND(SSQ_Intermediate!R97="",SSQ_Intermediate!S97="",SSQ_Intermediate!T97="",SSQ_Intermediate!U97="",SSQ_Intermediate!V97="",SSQ_Intermediate!Z97="",SSQ_Intermediate!AB97=""),"",SUM(SSQ_Intermediate!R97,SSQ_Intermediate!S97,SSQ_Intermediate!T97,SSQ_Intermediate!U97,SSQ_Intermediate!V97,SSQ_Intermediate!Z97,SSQ_Intermediate!AB97))</f>
        <v/>
      </c>
      <c r="H97" s="101">
        <f>F97*'SSQ Metadata'!$B$13</f>
        <v>0</v>
      </c>
      <c r="I97" s="21" t="str">
        <f>IF(G97="","",G97*'SSQ Metadata'!$B$13)</f>
        <v/>
      </c>
      <c r="J97" s="18">
        <f>SSQ_Intermediate!F97+SSQ_Intermediate!I97+SSQ_Intermediate!K97+SSQ_Intermediate!L97+SSQ_Intermediate!M97+SSQ_Intermediate!N97+SSQ_Intermediate!O97</f>
        <v>0</v>
      </c>
      <c r="K97" s="102" t="str">
        <f>IF(AND(SSQ_Intermediate!V97="",SSQ_Intermediate!Y97="",SSQ_Intermediate!AA97="",SSQ_Intermediate!AB97="",SSQ_Intermediate!AC97="",SSQ_Intermediate!AD97="",SSQ_Intermediate!AE97=""),"",SUM(SSQ_Intermediate!V97,SSQ_Intermediate!Y97,SSQ_Intermediate!AA97,SSQ_Intermediate!AB97,SSQ_Intermediate!AC97,SSQ_Intermediate!AD97,SSQ_Intermediate!AE97))</f>
        <v/>
      </c>
      <c r="L97" s="102">
        <f>J97*'SSQ Metadata'!$B$14</f>
        <v>0</v>
      </c>
      <c r="M97" s="19" t="str">
        <f>IF(K97="","",K97*'SSQ Metadata'!$B$14)</f>
        <v/>
      </c>
      <c r="N97" s="16">
        <f>(B97+F97+J97)*'SSQ Metadata'!$B$15</f>
        <v>0</v>
      </c>
      <c r="O97" s="17" t="str">
        <f>IF(AND(C97="",G97="",K97=""),"",(C97+G97+K97)*'SSQ Metadata'!$B$15)</f>
        <v/>
      </c>
      <c r="P97" s="15" t="str">
        <f t="shared" si="4"/>
        <v/>
      </c>
      <c r="Q97" s="103" t="str">
        <f t="shared" si="5"/>
        <v/>
      </c>
      <c r="R97" s="103" t="str">
        <f t="shared" si="6"/>
        <v/>
      </c>
      <c r="S97" s="104" t="str">
        <f t="shared" si="7"/>
        <v/>
      </c>
    </row>
    <row r="98" spans="1:19" x14ac:dyDescent="0.2">
      <c r="A98" s="70">
        <v>95</v>
      </c>
      <c r="B98" s="99">
        <f>SSQ_Intermediate!B98+SSQ_Intermediate!G98+SSQ_Intermediate!H98+SSQ_Intermediate!I98+SSQ_Intermediate!J98+SSQ_Intermediate!P98+SSQ_Intermediate!Q98</f>
        <v>0</v>
      </c>
      <c r="C98" s="100" t="str">
        <f>IF(AND(SSQ_Intermediate!R98="",SSQ_Intermediate!W98="",SSQ_Intermediate!X98="",SSQ_Intermediate!Y98="",SSQ_Intermediate!Z98="",SSQ_Intermediate!AF98="",SSQ_Intermediate!AG98=""),"",SUM(SSQ_Intermediate!R98,SSQ_Intermediate!W98,SSQ_Intermediate!X98,SSQ_Intermediate!Y98,SSQ_Intermediate!Z98,SSQ_Intermediate!AF98,SSQ_Intermediate!AG98))</f>
        <v/>
      </c>
      <c r="D98" s="100">
        <f>B98*'SSQ Metadata'!$B$12</f>
        <v>0</v>
      </c>
      <c r="E98" s="22" t="str">
        <f>IF(C98="","",C98*'SSQ Metadata'!$B$12)</f>
        <v/>
      </c>
      <c r="F98" s="20">
        <f>SSQ_Intermediate!B98+SSQ_Intermediate!C98+SSQ_Intermediate!D98+SSQ_Intermediate!E98+SSQ_Intermediate!F98+SSQ_Intermediate!J98+SSQ_Intermediate!L98</f>
        <v>0</v>
      </c>
      <c r="G98" s="101" t="str">
        <f>IF(AND(SSQ_Intermediate!R98="",SSQ_Intermediate!S98="",SSQ_Intermediate!T98="",SSQ_Intermediate!U98="",SSQ_Intermediate!V98="",SSQ_Intermediate!Z98="",SSQ_Intermediate!AB98=""),"",SUM(SSQ_Intermediate!R98,SSQ_Intermediate!S98,SSQ_Intermediate!T98,SSQ_Intermediate!U98,SSQ_Intermediate!V98,SSQ_Intermediate!Z98,SSQ_Intermediate!AB98))</f>
        <v/>
      </c>
      <c r="H98" s="101">
        <f>F98*'SSQ Metadata'!$B$13</f>
        <v>0</v>
      </c>
      <c r="I98" s="21" t="str">
        <f>IF(G98="","",G98*'SSQ Metadata'!$B$13)</f>
        <v/>
      </c>
      <c r="J98" s="18">
        <f>SSQ_Intermediate!F98+SSQ_Intermediate!I98+SSQ_Intermediate!K98+SSQ_Intermediate!L98+SSQ_Intermediate!M98+SSQ_Intermediate!N98+SSQ_Intermediate!O98</f>
        <v>0</v>
      </c>
      <c r="K98" s="102" t="str">
        <f>IF(AND(SSQ_Intermediate!V98="",SSQ_Intermediate!Y98="",SSQ_Intermediate!AA98="",SSQ_Intermediate!AB98="",SSQ_Intermediate!AC98="",SSQ_Intermediate!AD98="",SSQ_Intermediate!AE98=""),"",SUM(SSQ_Intermediate!V98,SSQ_Intermediate!Y98,SSQ_Intermediate!AA98,SSQ_Intermediate!AB98,SSQ_Intermediate!AC98,SSQ_Intermediate!AD98,SSQ_Intermediate!AE98))</f>
        <v/>
      </c>
      <c r="L98" s="102">
        <f>J98*'SSQ Metadata'!$B$14</f>
        <v>0</v>
      </c>
      <c r="M98" s="19" t="str">
        <f>IF(K98="","",K98*'SSQ Metadata'!$B$14)</f>
        <v/>
      </c>
      <c r="N98" s="16">
        <f>(B98+F98+J98)*'SSQ Metadata'!$B$15</f>
        <v>0</v>
      </c>
      <c r="O98" s="17" t="str">
        <f>IF(AND(C98="",G98="",K98=""),"",(C98+G98+K98)*'SSQ Metadata'!$B$15)</f>
        <v/>
      </c>
      <c r="P98" s="15" t="str">
        <f t="shared" si="4"/>
        <v/>
      </c>
      <c r="Q98" s="103" t="str">
        <f t="shared" si="5"/>
        <v/>
      </c>
      <c r="R98" s="103" t="str">
        <f t="shared" si="6"/>
        <v/>
      </c>
      <c r="S98" s="104" t="str">
        <f t="shared" si="7"/>
        <v/>
      </c>
    </row>
    <row r="99" spans="1:19" x14ac:dyDescent="0.2">
      <c r="A99" s="70">
        <v>96</v>
      </c>
      <c r="B99" s="99">
        <f>SSQ_Intermediate!B99+SSQ_Intermediate!G99+SSQ_Intermediate!H99+SSQ_Intermediate!I99+SSQ_Intermediate!J99+SSQ_Intermediate!P99+SSQ_Intermediate!Q99</f>
        <v>0</v>
      </c>
      <c r="C99" s="100" t="str">
        <f>IF(AND(SSQ_Intermediate!R99="",SSQ_Intermediate!W99="",SSQ_Intermediate!X99="",SSQ_Intermediate!Y99="",SSQ_Intermediate!Z99="",SSQ_Intermediate!AF99="",SSQ_Intermediate!AG99=""),"",SUM(SSQ_Intermediate!R99,SSQ_Intermediate!W99,SSQ_Intermediate!X99,SSQ_Intermediate!Y99,SSQ_Intermediate!Z99,SSQ_Intermediate!AF99,SSQ_Intermediate!AG99))</f>
        <v/>
      </c>
      <c r="D99" s="100">
        <f>B99*'SSQ Metadata'!$B$12</f>
        <v>0</v>
      </c>
      <c r="E99" s="22" t="str">
        <f>IF(C99="","",C99*'SSQ Metadata'!$B$12)</f>
        <v/>
      </c>
      <c r="F99" s="20">
        <f>SSQ_Intermediate!B99+SSQ_Intermediate!C99+SSQ_Intermediate!D99+SSQ_Intermediate!E99+SSQ_Intermediate!F99+SSQ_Intermediate!J99+SSQ_Intermediate!L99</f>
        <v>0</v>
      </c>
      <c r="G99" s="101" t="str">
        <f>IF(AND(SSQ_Intermediate!R99="",SSQ_Intermediate!S99="",SSQ_Intermediate!T99="",SSQ_Intermediate!U99="",SSQ_Intermediate!V99="",SSQ_Intermediate!Z99="",SSQ_Intermediate!AB99=""),"",SUM(SSQ_Intermediate!R99,SSQ_Intermediate!S99,SSQ_Intermediate!T99,SSQ_Intermediate!U99,SSQ_Intermediate!V99,SSQ_Intermediate!Z99,SSQ_Intermediate!AB99))</f>
        <v/>
      </c>
      <c r="H99" s="101">
        <f>F99*'SSQ Metadata'!$B$13</f>
        <v>0</v>
      </c>
      <c r="I99" s="21" t="str">
        <f>IF(G99="","",G99*'SSQ Metadata'!$B$13)</f>
        <v/>
      </c>
      <c r="J99" s="18">
        <f>SSQ_Intermediate!F99+SSQ_Intermediate!I99+SSQ_Intermediate!K99+SSQ_Intermediate!L99+SSQ_Intermediate!M99+SSQ_Intermediate!N99+SSQ_Intermediate!O99</f>
        <v>0</v>
      </c>
      <c r="K99" s="102" t="str">
        <f>IF(AND(SSQ_Intermediate!V99="",SSQ_Intermediate!Y99="",SSQ_Intermediate!AA99="",SSQ_Intermediate!AB99="",SSQ_Intermediate!AC99="",SSQ_Intermediate!AD99="",SSQ_Intermediate!AE99=""),"",SUM(SSQ_Intermediate!V99,SSQ_Intermediate!Y99,SSQ_Intermediate!AA99,SSQ_Intermediate!AB99,SSQ_Intermediate!AC99,SSQ_Intermediate!AD99,SSQ_Intermediate!AE99))</f>
        <v/>
      </c>
      <c r="L99" s="102">
        <f>J99*'SSQ Metadata'!$B$14</f>
        <v>0</v>
      </c>
      <c r="M99" s="19" t="str">
        <f>IF(K99="","",K99*'SSQ Metadata'!$B$14)</f>
        <v/>
      </c>
      <c r="N99" s="16">
        <f>(B99+F99+J99)*'SSQ Metadata'!$B$15</f>
        <v>0</v>
      </c>
      <c r="O99" s="17" t="str">
        <f>IF(AND(C99="",G99="",K99=""),"",(C99+G99+K99)*'SSQ Metadata'!$B$15)</f>
        <v/>
      </c>
      <c r="P99" s="15" t="str">
        <f t="shared" si="4"/>
        <v/>
      </c>
      <c r="Q99" s="103" t="str">
        <f t="shared" si="5"/>
        <v/>
      </c>
      <c r="R99" s="103" t="str">
        <f t="shared" si="6"/>
        <v/>
      </c>
      <c r="S99" s="104" t="str">
        <f t="shared" si="7"/>
        <v/>
      </c>
    </row>
    <row r="100" spans="1:19" x14ac:dyDescent="0.2">
      <c r="A100" s="70">
        <v>97</v>
      </c>
      <c r="B100" s="99">
        <f>SSQ_Intermediate!B100+SSQ_Intermediate!G100+SSQ_Intermediate!H100+SSQ_Intermediate!I100+SSQ_Intermediate!J100+SSQ_Intermediate!P100+SSQ_Intermediate!Q100</f>
        <v>0</v>
      </c>
      <c r="C100" s="100" t="str">
        <f>IF(AND(SSQ_Intermediate!R100="",SSQ_Intermediate!W100="",SSQ_Intermediate!X100="",SSQ_Intermediate!Y100="",SSQ_Intermediate!Z100="",SSQ_Intermediate!AF100="",SSQ_Intermediate!AG100=""),"",SUM(SSQ_Intermediate!R100,SSQ_Intermediate!W100,SSQ_Intermediate!X100,SSQ_Intermediate!Y100,SSQ_Intermediate!Z100,SSQ_Intermediate!AF100,SSQ_Intermediate!AG100))</f>
        <v/>
      </c>
      <c r="D100" s="100">
        <f>B100*'SSQ Metadata'!$B$12</f>
        <v>0</v>
      </c>
      <c r="E100" s="22" t="str">
        <f>IF(C100="","",C100*'SSQ Metadata'!$B$12)</f>
        <v/>
      </c>
      <c r="F100" s="20">
        <f>SSQ_Intermediate!B100+SSQ_Intermediate!C100+SSQ_Intermediate!D100+SSQ_Intermediate!E100+SSQ_Intermediate!F100+SSQ_Intermediate!J100+SSQ_Intermediate!L100</f>
        <v>0</v>
      </c>
      <c r="G100" s="101" t="str">
        <f>IF(AND(SSQ_Intermediate!R100="",SSQ_Intermediate!S100="",SSQ_Intermediate!T100="",SSQ_Intermediate!U100="",SSQ_Intermediate!V100="",SSQ_Intermediate!Z100="",SSQ_Intermediate!AB100=""),"",SUM(SSQ_Intermediate!R100,SSQ_Intermediate!S100,SSQ_Intermediate!T100,SSQ_Intermediate!U100,SSQ_Intermediate!V100,SSQ_Intermediate!Z100,SSQ_Intermediate!AB100))</f>
        <v/>
      </c>
      <c r="H100" s="101">
        <f>F100*'SSQ Metadata'!$B$13</f>
        <v>0</v>
      </c>
      <c r="I100" s="21" t="str">
        <f>IF(G100="","",G100*'SSQ Metadata'!$B$13)</f>
        <v/>
      </c>
      <c r="J100" s="18">
        <f>SSQ_Intermediate!F100+SSQ_Intermediate!I100+SSQ_Intermediate!K100+SSQ_Intermediate!L100+SSQ_Intermediate!M100+SSQ_Intermediate!N100+SSQ_Intermediate!O100</f>
        <v>0</v>
      </c>
      <c r="K100" s="102" t="str">
        <f>IF(AND(SSQ_Intermediate!V100="",SSQ_Intermediate!Y100="",SSQ_Intermediate!AA100="",SSQ_Intermediate!AB100="",SSQ_Intermediate!AC100="",SSQ_Intermediate!AD100="",SSQ_Intermediate!AE100=""),"",SUM(SSQ_Intermediate!V100,SSQ_Intermediate!Y100,SSQ_Intermediate!AA100,SSQ_Intermediate!AB100,SSQ_Intermediate!AC100,SSQ_Intermediate!AD100,SSQ_Intermediate!AE100))</f>
        <v/>
      </c>
      <c r="L100" s="102">
        <f>J100*'SSQ Metadata'!$B$14</f>
        <v>0</v>
      </c>
      <c r="M100" s="19" t="str">
        <f>IF(K100="","",K100*'SSQ Metadata'!$B$14)</f>
        <v/>
      </c>
      <c r="N100" s="16">
        <f>(B100+F100+J100)*'SSQ Metadata'!$B$15</f>
        <v>0</v>
      </c>
      <c r="O100" s="17" t="str">
        <f>IF(AND(C100="",G100="",K100=""),"",(C100+G100+K100)*'SSQ Metadata'!$B$15)</f>
        <v/>
      </c>
      <c r="P100" s="15" t="str">
        <f t="shared" si="4"/>
        <v/>
      </c>
      <c r="Q100" s="103" t="str">
        <f t="shared" si="5"/>
        <v/>
      </c>
      <c r="R100" s="103" t="str">
        <f t="shared" si="6"/>
        <v/>
      </c>
      <c r="S100" s="104" t="str">
        <f t="shared" si="7"/>
        <v/>
      </c>
    </row>
    <row r="101" spans="1:19" x14ac:dyDescent="0.2">
      <c r="A101" s="70">
        <v>98</v>
      </c>
      <c r="B101" s="99">
        <f>SSQ_Intermediate!B101+SSQ_Intermediate!G101+SSQ_Intermediate!H101+SSQ_Intermediate!I101+SSQ_Intermediate!J101+SSQ_Intermediate!P101+SSQ_Intermediate!Q101</f>
        <v>0</v>
      </c>
      <c r="C101" s="100" t="str">
        <f>IF(AND(SSQ_Intermediate!R101="",SSQ_Intermediate!W101="",SSQ_Intermediate!X101="",SSQ_Intermediate!Y101="",SSQ_Intermediate!Z101="",SSQ_Intermediate!AF101="",SSQ_Intermediate!AG101=""),"",SUM(SSQ_Intermediate!R101,SSQ_Intermediate!W101,SSQ_Intermediate!X101,SSQ_Intermediate!Y101,SSQ_Intermediate!Z101,SSQ_Intermediate!AF101,SSQ_Intermediate!AG101))</f>
        <v/>
      </c>
      <c r="D101" s="100">
        <f>B101*'SSQ Metadata'!$B$12</f>
        <v>0</v>
      </c>
      <c r="E101" s="22" t="str">
        <f>IF(C101="","",C101*'SSQ Metadata'!$B$12)</f>
        <v/>
      </c>
      <c r="F101" s="20">
        <f>SSQ_Intermediate!B101+SSQ_Intermediate!C101+SSQ_Intermediate!D101+SSQ_Intermediate!E101+SSQ_Intermediate!F101+SSQ_Intermediate!J101+SSQ_Intermediate!L101</f>
        <v>0</v>
      </c>
      <c r="G101" s="101" t="str">
        <f>IF(AND(SSQ_Intermediate!R101="",SSQ_Intermediate!S101="",SSQ_Intermediate!T101="",SSQ_Intermediate!U101="",SSQ_Intermediate!V101="",SSQ_Intermediate!Z101="",SSQ_Intermediate!AB101=""),"",SUM(SSQ_Intermediate!R101,SSQ_Intermediate!S101,SSQ_Intermediate!T101,SSQ_Intermediate!U101,SSQ_Intermediate!V101,SSQ_Intermediate!Z101,SSQ_Intermediate!AB101))</f>
        <v/>
      </c>
      <c r="H101" s="101">
        <f>F101*'SSQ Metadata'!$B$13</f>
        <v>0</v>
      </c>
      <c r="I101" s="21" t="str">
        <f>IF(G101="","",G101*'SSQ Metadata'!$B$13)</f>
        <v/>
      </c>
      <c r="J101" s="18">
        <f>SSQ_Intermediate!F101+SSQ_Intermediate!I101+SSQ_Intermediate!K101+SSQ_Intermediate!L101+SSQ_Intermediate!M101+SSQ_Intermediate!N101+SSQ_Intermediate!O101</f>
        <v>0</v>
      </c>
      <c r="K101" s="102" t="str">
        <f>IF(AND(SSQ_Intermediate!V101="",SSQ_Intermediate!Y101="",SSQ_Intermediate!AA101="",SSQ_Intermediate!AB101="",SSQ_Intermediate!AC101="",SSQ_Intermediate!AD101="",SSQ_Intermediate!AE101=""),"",SUM(SSQ_Intermediate!V101,SSQ_Intermediate!Y101,SSQ_Intermediate!AA101,SSQ_Intermediate!AB101,SSQ_Intermediate!AC101,SSQ_Intermediate!AD101,SSQ_Intermediate!AE101))</f>
        <v/>
      </c>
      <c r="L101" s="102">
        <f>J101*'SSQ Metadata'!$B$14</f>
        <v>0</v>
      </c>
      <c r="M101" s="19" t="str">
        <f>IF(K101="","",K101*'SSQ Metadata'!$B$14)</f>
        <v/>
      </c>
      <c r="N101" s="16">
        <f>(B101+F101+J101)*'SSQ Metadata'!$B$15</f>
        <v>0</v>
      </c>
      <c r="O101" s="17" t="str">
        <f>IF(AND(C101="",G101="",K101=""),"",(C101+G101+K101)*'SSQ Metadata'!$B$15)</f>
        <v/>
      </c>
      <c r="P101" s="15" t="str">
        <f t="shared" si="4"/>
        <v/>
      </c>
      <c r="Q101" s="103" t="str">
        <f t="shared" si="5"/>
        <v/>
      </c>
      <c r="R101" s="103" t="str">
        <f t="shared" si="6"/>
        <v/>
      </c>
      <c r="S101" s="104" t="str">
        <f t="shared" si="7"/>
        <v/>
      </c>
    </row>
    <row r="102" spans="1:19" x14ac:dyDescent="0.2">
      <c r="A102" s="70">
        <v>99</v>
      </c>
      <c r="B102" s="99">
        <f>SSQ_Intermediate!B102+SSQ_Intermediate!G102+SSQ_Intermediate!H102+SSQ_Intermediate!I102+SSQ_Intermediate!J102+SSQ_Intermediate!P102+SSQ_Intermediate!Q102</f>
        <v>0</v>
      </c>
      <c r="C102" s="100" t="str">
        <f>IF(AND(SSQ_Intermediate!R102="",SSQ_Intermediate!W102="",SSQ_Intermediate!X102="",SSQ_Intermediate!Y102="",SSQ_Intermediate!Z102="",SSQ_Intermediate!AF102="",SSQ_Intermediate!AG102=""),"",SUM(SSQ_Intermediate!R102,SSQ_Intermediate!W102,SSQ_Intermediate!X102,SSQ_Intermediate!Y102,SSQ_Intermediate!Z102,SSQ_Intermediate!AF102,SSQ_Intermediate!AG102))</f>
        <v/>
      </c>
      <c r="D102" s="100">
        <f>B102*'SSQ Metadata'!$B$12</f>
        <v>0</v>
      </c>
      <c r="E102" s="22" t="str">
        <f>IF(C102="","",C102*'SSQ Metadata'!$B$12)</f>
        <v/>
      </c>
      <c r="F102" s="20">
        <f>SSQ_Intermediate!B102+SSQ_Intermediate!C102+SSQ_Intermediate!D102+SSQ_Intermediate!E102+SSQ_Intermediate!F102+SSQ_Intermediate!J102+SSQ_Intermediate!L102</f>
        <v>0</v>
      </c>
      <c r="G102" s="101" t="str">
        <f>IF(AND(SSQ_Intermediate!R102="",SSQ_Intermediate!S102="",SSQ_Intermediate!T102="",SSQ_Intermediate!U102="",SSQ_Intermediate!V102="",SSQ_Intermediate!Z102="",SSQ_Intermediate!AB102=""),"",SUM(SSQ_Intermediate!R102,SSQ_Intermediate!S102,SSQ_Intermediate!T102,SSQ_Intermediate!U102,SSQ_Intermediate!V102,SSQ_Intermediate!Z102,SSQ_Intermediate!AB102))</f>
        <v/>
      </c>
      <c r="H102" s="101">
        <f>F102*'SSQ Metadata'!$B$13</f>
        <v>0</v>
      </c>
      <c r="I102" s="21" t="str">
        <f>IF(G102="","",G102*'SSQ Metadata'!$B$13)</f>
        <v/>
      </c>
      <c r="J102" s="18">
        <f>SSQ_Intermediate!F102+SSQ_Intermediate!I102+SSQ_Intermediate!K102+SSQ_Intermediate!L102+SSQ_Intermediate!M102+SSQ_Intermediate!N102+SSQ_Intermediate!O102</f>
        <v>0</v>
      </c>
      <c r="K102" s="102" t="str">
        <f>IF(AND(SSQ_Intermediate!V102="",SSQ_Intermediate!Y102="",SSQ_Intermediate!AA102="",SSQ_Intermediate!AB102="",SSQ_Intermediate!AC102="",SSQ_Intermediate!AD102="",SSQ_Intermediate!AE102=""),"",SUM(SSQ_Intermediate!V102,SSQ_Intermediate!Y102,SSQ_Intermediate!AA102,SSQ_Intermediate!AB102,SSQ_Intermediate!AC102,SSQ_Intermediate!AD102,SSQ_Intermediate!AE102))</f>
        <v/>
      </c>
      <c r="L102" s="102">
        <f>J102*'SSQ Metadata'!$B$14</f>
        <v>0</v>
      </c>
      <c r="M102" s="19" t="str">
        <f>IF(K102="","",K102*'SSQ Metadata'!$B$14)</f>
        <v/>
      </c>
      <c r="N102" s="16">
        <f>(B102+F102+J102)*'SSQ Metadata'!$B$15</f>
        <v>0</v>
      </c>
      <c r="O102" s="17" t="str">
        <f>IF(AND(C102="",G102="",K102=""),"",(C102+G102+K102)*'SSQ Metadata'!$B$15)</f>
        <v/>
      </c>
      <c r="P102" s="15" t="str">
        <f t="shared" si="4"/>
        <v/>
      </c>
      <c r="Q102" s="103" t="str">
        <f t="shared" si="5"/>
        <v/>
      </c>
      <c r="R102" s="103" t="str">
        <f t="shared" si="6"/>
        <v/>
      </c>
      <c r="S102" s="104" t="str">
        <f t="shared" si="7"/>
        <v/>
      </c>
    </row>
    <row r="103" spans="1:19" ht="17" thickBot="1" x14ac:dyDescent="0.25">
      <c r="A103" s="70">
        <v>100</v>
      </c>
      <c r="B103" s="105">
        <f>SSQ_Intermediate!B103+SSQ_Intermediate!G103+SSQ_Intermediate!H103+SSQ_Intermediate!I103+SSQ_Intermediate!J103+SSQ_Intermediate!P103+SSQ_Intermediate!Q103</f>
        <v>0</v>
      </c>
      <c r="C103" s="106" t="str">
        <f>IF(AND(SSQ_Intermediate!R103="",SSQ_Intermediate!W103="",SSQ_Intermediate!X103="",SSQ_Intermediate!Y103="",SSQ_Intermediate!Z103="",SSQ_Intermediate!AF103="",SSQ_Intermediate!AG103=""),"",SUM(SSQ_Intermediate!R103,SSQ_Intermediate!W103,SSQ_Intermediate!X103,SSQ_Intermediate!Y103,SSQ_Intermediate!Z103,SSQ_Intermediate!AF103,SSQ_Intermediate!AG103))</f>
        <v/>
      </c>
      <c r="D103" s="106">
        <f>B103*'SSQ Metadata'!$B$12</f>
        <v>0</v>
      </c>
      <c r="E103" s="107" t="str">
        <f>IF(C103="","",C103*'SSQ Metadata'!$B$12)</f>
        <v/>
      </c>
      <c r="F103" s="108">
        <f>SSQ_Intermediate!B103+SSQ_Intermediate!C103+SSQ_Intermediate!D103+SSQ_Intermediate!E103+SSQ_Intermediate!F103+SSQ_Intermediate!J103+SSQ_Intermediate!L103</f>
        <v>0</v>
      </c>
      <c r="G103" s="109" t="str">
        <f>IF(AND(SSQ_Intermediate!R103="",SSQ_Intermediate!S103="",SSQ_Intermediate!T103="",SSQ_Intermediate!U103="",SSQ_Intermediate!V103="",SSQ_Intermediate!Z103="",SSQ_Intermediate!AB103=""),"",SUM(SSQ_Intermediate!R103,SSQ_Intermediate!S103,SSQ_Intermediate!T103,SSQ_Intermediate!U103,SSQ_Intermediate!V103,SSQ_Intermediate!Z103,SSQ_Intermediate!AB103))</f>
        <v/>
      </c>
      <c r="H103" s="109">
        <f>F103*'SSQ Metadata'!$B$13</f>
        <v>0</v>
      </c>
      <c r="I103" s="110" t="str">
        <f>IF(G103="","",G103*'SSQ Metadata'!$B$13)</f>
        <v/>
      </c>
      <c r="J103" s="111">
        <f>SSQ_Intermediate!F103+SSQ_Intermediate!I103+SSQ_Intermediate!K103+SSQ_Intermediate!L103+SSQ_Intermediate!M103+SSQ_Intermediate!N103+SSQ_Intermediate!O103</f>
        <v>0</v>
      </c>
      <c r="K103" s="112" t="str">
        <f>IF(AND(SSQ_Intermediate!V103="",SSQ_Intermediate!Y103="",SSQ_Intermediate!AA103="",SSQ_Intermediate!AB103="",SSQ_Intermediate!AC103="",SSQ_Intermediate!AD103="",SSQ_Intermediate!AE103=""),"",SUM(SSQ_Intermediate!V103,SSQ_Intermediate!Y103,SSQ_Intermediate!AA103,SSQ_Intermediate!AB103,SSQ_Intermediate!AC103,SSQ_Intermediate!AD103,SSQ_Intermediate!AE103))</f>
        <v/>
      </c>
      <c r="L103" s="112">
        <f>J103*'SSQ Metadata'!$B$14</f>
        <v>0</v>
      </c>
      <c r="M103" s="113" t="str">
        <f>IF(K103="","",K103*'SSQ Metadata'!$B$14)</f>
        <v/>
      </c>
      <c r="N103" s="114">
        <f>(B103+F103+J103)*'SSQ Metadata'!$B$15</f>
        <v>0</v>
      </c>
      <c r="O103" s="115" t="str">
        <f>IF(AND(C103="",G103="",K103=""),"",(C103+G103+K103)*'SSQ Metadata'!$B$15)</f>
        <v/>
      </c>
      <c r="P103" s="116" t="str">
        <f t="shared" si="4"/>
        <v/>
      </c>
      <c r="Q103" s="117" t="str">
        <f t="shared" si="5"/>
        <v/>
      </c>
      <c r="R103" s="117" t="str">
        <f t="shared" si="6"/>
        <v/>
      </c>
      <c r="S103" s="118" t="str">
        <f t="shared" si="7"/>
        <v/>
      </c>
    </row>
  </sheetData>
  <mergeCells count="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Main</vt:lpstr>
      <vt:lpstr>SSQ Metadata</vt:lpstr>
      <vt:lpstr>SSQ_Raw</vt:lpstr>
      <vt:lpstr>SSQ_Intermediate</vt:lpstr>
      <vt:lpstr>SSQ_Results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zackdavidwalker94@gmail.com</dc:creator>
  <cp:lastModifiedBy>zackdavidwalker94@gmail.com</cp:lastModifiedBy>
  <dcterms:created xsi:type="dcterms:W3CDTF">2025-10-10T08:47:37Z</dcterms:created>
  <dcterms:modified xsi:type="dcterms:W3CDTF">2026-01-16T11:18:17Z</dcterms:modified>
</cp:coreProperties>
</file>